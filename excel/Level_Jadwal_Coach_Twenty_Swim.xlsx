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Member Aktif" sheetId="2" state="visible" r:id="rId2"/>
    <sheet name="Panduan Level SSI" sheetId="3" state="visible" r:id="rId3"/>
    <sheet name="Aina Triyana Anggraini" sheetId="4" state="visible" r:id="rId4"/>
    <sheet name="Aldi Suryadinata" sheetId="5" state="visible" r:id="rId5"/>
    <sheet name="Asyahlan Hielmy" sheetId="6" state="visible" r:id="rId6"/>
    <sheet name="Asyira Nur Haida" sheetId="7" state="visible" r:id="rId7"/>
    <sheet name="Bayu Rizki Alfarizi" sheetId="8" state="visible" r:id="rId8"/>
    <sheet name="Chandanie Nely Agustin" sheetId="9" state="visible" r:id="rId9"/>
    <sheet name="Dida Zein Risty" sheetId="10" state="visible" r:id="rId10"/>
    <sheet name="Fadil Rijatul Haq" sheetId="11" state="visible" r:id="rId11"/>
    <sheet name="Faega Fitriani Dwi Putri" sheetId="12" state="visible" r:id="rId12"/>
    <sheet name="Fajri Rizki Robbani" sheetId="13" state="visible" r:id="rId13"/>
    <sheet name="Fakhri Safrudin Sopandi" sheetId="14" state="visible" r:id="rId14"/>
    <sheet name="Moh. Rizky Nugraha" sheetId="15" state="visible" r:id="rId15"/>
    <sheet name="Muhammad Akbar Putra" sheetId="16" state="visible" r:id="rId16"/>
    <sheet name="Muhammad Hafidz Ramadhan" sheetId="17" state="visible" r:id="rId17"/>
    <sheet name="Muhammad Lutfhi Mubarrok" sheetId="18" state="visible" r:id="rId18"/>
    <sheet name="Muhammad Nadhira Shafar" sheetId="19" state="visible" r:id="rId19"/>
    <sheet name="Muhammad Rafi Fakhrul Aiman" sheetId="20" state="visible" r:id="rId20"/>
    <sheet name="Muhammad Reyvin Aryaguna" sheetId="21" state="visible" r:id="rId21"/>
    <sheet name="Nadzar Akbar Subagja" sheetId="22" state="visible" r:id="rId22"/>
    <sheet name="Najwan Muhammad Ghalib" sheetId="23" state="visible" r:id="rId23"/>
    <sheet name="Nia Rizkiyanti" sheetId="24" state="visible" r:id="rId24"/>
    <sheet name="Nur Ainillah Nabawi" sheetId="25" state="visible" r:id="rId25"/>
    <sheet name="Nurul Khairunnissa" sheetId="26" state="visible" r:id="rId26"/>
    <sheet name="Putri Maharani" sheetId="27" state="visible" r:id="rId27"/>
    <sheet name="Rika Kartika" sheetId="28" state="visible" r:id="rId28"/>
    <sheet name="Riva Nur Fathiya Safitri" sheetId="29" state="visible" r:id="rId29"/>
    <sheet name="Shintia Nur Fadillah" sheetId="30" state="visible" r:id="rId30"/>
    <sheet name="Sinta Faoziah" sheetId="31" state="visible" r:id="rId31"/>
    <sheet name="Tiara Anastasya Gumilar" sheetId="32" state="visible" r:id="rId32"/>
    <sheet name="Tiara Maelani" sheetId="33" state="visible" r:id="rId33"/>
    <sheet name="DataMember" sheetId="34" state="hidden" r:id="rId34"/>
    <sheet name="Data Dashboard" sheetId="35" state="hidden" r:id="rId35"/>
    <sheet name="Daftar" sheetId="36" state="hidden" r:id="rId3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0">
    <font>
      <name val="Calibri"/>
      <family val="2"/>
      <color theme="1"/>
      <sz val="11"/>
      <scheme val="minor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1F2A44"/>
      <sz val="14"/>
    </font>
    <font>
      <name val="Arial"/>
      <b val="1"/>
      <color rgb="00159BD3"/>
      <sz val="11"/>
    </font>
    <font>
      <name val="Arial"/>
      <color rgb="006B7280"/>
      <sz val="9"/>
    </font>
    <font>
      <name val="Arial"/>
      <b val="1"/>
      <color rgb="001F2A44"/>
      <sz val="10"/>
    </font>
    <font>
      <name val="Arial"/>
      <i val="1"/>
      <color rgb="006B7280"/>
      <sz val="8"/>
    </font>
    <font>
      <name val="Arial"/>
      <b val="1"/>
      <color rgb="00FFFFFF"/>
      <sz val="10"/>
    </font>
    <font>
      <name val="Arial"/>
      <i val="1"/>
      <color rgb="006B7280"/>
      <sz val="9"/>
    </font>
    <font>
      <name val="Arial"/>
      <color rgb="006B7280"/>
      <sz val="10"/>
    </font>
    <font>
      <name val="Arial"/>
      <b val="1"/>
      <color rgb="00FFFFFF"/>
      <sz val="17"/>
    </font>
    <font>
      <name val="Arial"/>
      <b val="1"/>
      <color rgb="001D4F91"/>
      <sz val="9"/>
    </font>
    <font>
      <name val="Arial"/>
      <b val="1"/>
      <color rgb="001F2A44"/>
      <sz val="24"/>
    </font>
    <font>
      <name val="Arial"/>
      <color rgb="006B7280"/>
      <sz val="8"/>
    </font>
    <font>
      <name val="Arial"/>
      <b val="1"/>
      <color rgb="003D4A66"/>
      <sz val="9"/>
    </font>
    <font>
      <name val="Arial"/>
      <b val="1"/>
      <color rgb="001E6B3C"/>
      <sz val="9"/>
    </font>
    <font>
      <name val="Arial"/>
      <b val="1"/>
      <color rgb="00A03B3B"/>
      <sz val="9"/>
    </font>
    <font>
      <name val="Arial"/>
      <b val="1"/>
      <color rgb="001F2A44"/>
      <sz val="11"/>
    </font>
    <font>
      <name val="Arial"/>
      <color rgb="00374151"/>
      <sz val="9"/>
    </font>
  </fonts>
  <fills count="15">
    <fill>
      <patternFill/>
    </fill>
    <fill>
      <patternFill patternType="gray125"/>
    </fill>
    <fill>
      <patternFill patternType="solid">
        <fgColor rgb="001F2A44"/>
      </patternFill>
    </fill>
    <fill>
      <patternFill patternType="solid">
        <fgColor rgb="00159BD3"/>
      </patternFill>
    </fill>
    <fill>
      <patternFill patternType="solid">
        <fgColor rgb="00EAF3FA"/>
      </patternFill>
    </fill>
    <fill>
      <patternFill patternType="solid">
        <fgColor rgb="00FFF4E0"/>
      </patternFill>
    </fill>
    <fill>
      <patternFill patternType="solid">
        <fgColor rgb="00E9F0FA"/>
      </patternFill>
    </fill>
    <fill>
      <patternFill patternType="solid">
        <fgColor rgb="00F0F1F4"/>
      </patternFill>
    </fill>
    <fill>
      <patternFill patternType="solid">
        <fgColor rgb="00E8F3EC"/>
      </patternFill>
    </fill>
    <fill>
      <patternFill patternType="solid">
        <fgColor rgb="00FBEAE8"/>
      </patternFill>
    </fill>
    <fill>
      <patternFill patternType="solid">
        <fgColor rgb="00FDF3D8"/>
      </patternFill>
    </fill>
    <fill>
      <patternFill patternType="solid">
        <fgColor rgb="00F5F7FA"/>
      </patternFill>
    </fill>
    <fill>
      <patternFill patternType="solid">
        <fgColor rgb="00FCE4EC"/>
      </patternFill>
    </fill>
    <fill>
      <patternFill patternType="solid">
        <fgColor rgb="00C8E6C9"/>
      </patternFill>
    </fill>
    <fill>
      <patternFill patternType="solid">
        <fgColor rgb="00FFCDD2"/>
      </patternFill>
    </fill>
  </fills>
  <borders count="3">
    <border>
      <left/>
      <right/>
      <top/>
      <bottom/>
      <diagonal/>
    </border>
    <border>
      <left style="thin">
        <color rgb="00D9DDE6"/>
      </left>
      <right style="thin">
        <color rgb="00D9DDE6"/>
      </right>
      <top style="thin">
        <color rgb="00D9DDE6"/>
      </top>
      <bottom style="thin">
        <color rgb="00D9DDE6"/>
      </bottom>
    </border>
    <border>
      <bottom style="thin">
        <color rgb="00159BD3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1" fillId="2" borderId="0" applyAlignment="1" pivotButton="0" quotePrefix="0" xfId="0">
      <alignment horizontal="left" vertical="center" indent="1"/>
    </xf>
    <xf numFmtId="0" fontId="5" fillId="0" borderId="0" applyAlignment="1" pivotButton="0" quotePrefix="0" xfId="0">
      <alignment horizontal="left" vertical="center"/>
    </xf>
    <xf numFmtId="0" fontId="12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15" fillId="7" borderId="1" applyAlignment="1" pivotButton="0" quotePrefix="0" xfId="0">
      <alignment horizontal="center" vertical="center" wrapText="1"/>
    </xf>
    <xf numFmtId="0" fontId="0" fillId="7" borderId="1" applyAlignment="1" pivotButton="0" quotePrefix="0" xfId="0">
      <alignment horizontal="center" vertical="center" wrapText="1"/>
    </xf>
    <xf numFmtId="0" fontId="16" fillId="8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7" fillId="9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3" fontId="13" fillId="6" borderId="1" applyAlignment="1" pivotButton="0" quotePrefix="0" xfId="0">
      <alignment horizontal="center" vertical="center" wrapText="1"/>
    </xf>
    <xf numFmtId="3" fontId="13" fillId="7" borderId="1" applyAlignment="1" pivotButton="0" quotePrefix="0" xfId="0">
      <alignment horizontal="center" vertical="center" wrapText="1"/>
    </xf>
    <xf numFmtId="3" fontId="13" fillId="8" borderId="1" applyAlignment="1" pivotButton="0" quotePrefix="0" xfId="0">
      <alignment horizontal="center" vertical="center" wrapText="1"/>
    </xf>
    <xf numFmtId="3" fontId="13" fillId="9" borderId="1" applyAlignment="1" pivotButton="0" quotePrefix="0" xfId="0">
      <alignment horizontal="center" vertical="center" wrapText="1"/>
    </xf>
    <xf numFmtId="0" fontId="14" fillId="6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/>
    </xf>
    <xf numFmtId="0" fontId="6" fillId="0" borderId="2" pivotButton="0" quotePrefix="0" xfId="0"/>
    <xf numFmtId="0" fontId="5" fillId="0" borderId="0" pivotButton="0" quotePrefix="0" xfId="0"/>
    <xf numFmtId="0" fontId="6" fillId="0" borderId="0" applyAlignment="1" pivotButton="0" quotePrefix="0" xfId="0">
      <alignment horizontal="right"/>
    </xf>
    <xf numFmtId="0" fontId="7" fillId="0" borderId="0" pivotButton="0" quotePrefix="0" xfId="0"/>
    <xf numFmtId="0" fontId="3" fillId="0" borderId="0" pivotButton="0" quotePrefix="0" xfId="0"/>
    <xf numFmtId="0" fontId="6" fillId="0" borderId="0" applyAlignment="1" pivotButton="0" quotePrefix="0" xfId="0">
      <alignment horizontal="right" vertical="center"/>
    </xf>
    <xf numFmtId="0" fontId="2" fillId="10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right"/>
    </xf>
    <xf numFmtId="0" fontId="6" fillId="0" borderId="0" applyAlignment="1" pivotButton="0" quotePrefix="0" xfId="0">
      <alignment horizontal="left" vertical="center"/>
    </xf>
    <xf numFmtId="0" fontId="8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18" fillId="0" borderId="0" pivotButton="0" quotePrefix="0" xfId="0"/>
    <xf numFmtId="0" fontId="2" fillId="11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2" fillId="12" borderId="1" applyAlignment="1" pivotButton="0" quotePrefix="0" xfId="0">
      <alignment horizontal="left" vertical="center"/>
    </xf>
    <xf numFmtId="0" fontId="2" fillId="8" borderId="1" applyAlignment="1" pivotButton="0" quotePrefix="0" xfId="0">
      <alignment horizontal="left" vertical="center"/>
    </xf>
    <xf numFmtId="0" fontId="2" fillId="9" borderId="1" applyAlignment="1" pivotButton="0" quotePrefix="0" xfId="0">
      <alignment horizontal="left" vertical="center"/>
    </xf>
    <xf numFmtId="0" fontId="2" fillId="13" borderId="1" applyAlignment="1" pivotButton="0" quotePrefix="0" xfId="0">
      <alignment horizontal="left" vertical="center"/>
    </xf>
    <xf numFmtId="0" fontId="2" fillId="14" borderId="1" applyAlignment="1" pivotButton="0" quotePrefix="0" xfId="0">
      <alignment horizontal="left" vertical="center"/>
    </xf>
    <xf numFmtId="0" fontId="19" fillId="0" borderId="0" applyAlignment="1" pivotButton="0" quotePrefix="0" xfId="0">
      <alignment vertical="center"/>
    </xf>
    <xf numFmtId="0" fontId="4" fillId="0" borderId="0" pivotButton="0" quotePrefix="0" xfId="0"/>
    <xf numFmtId="0" fontId="6" fillId="0" borderId="0" pivotButton="0" quotePrefix="0" xfId="0"/>
    <xf numFmtId="0" fontId="6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49" fontId="2" fillId="0" borderId="1" applyAlignment="1" pivotButton="0" quotePrefix="0" xfId="0">
      <alignment horizontal="center" vertical="center" wrapText="1"/>
    </xf>
    <xf numFmtId="0" fontId="2" fillId="4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2" fillId="5" borderId="1" pivotButton="0" quotePrefix="0" xfId="0"/>
    <xf numFmtId="0" fontId="8" fillId="2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1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8">
    <dxf>
      <fill>
        <patternFill patternType="solid">
          <fgColor rgb="00F5F7FA"/>
        </patternFill>
      </fill>
    </dxf>
    <dxf>
      <fill>
        <patternFill patternType="solid">
          <fgColor rgb="00EAF3FA"/>
        </patternFill>
      </fill>
    </dxf>
    <dxf>
      <fill>
        <patternFill patternType="solid">
          <fgColor rgb="00FCE4EC"/>
        </patternFill>
      </fill>
    </dxf>
    <dxf>
      <font>
        <color rgb="001E6B3C"/>
      </font>
      <fill>
        <patternFill patternType="solid">
          <fgColor rgb="00E8F3EC"/>
        </patternFill>
      </fill>
    </dxf>
    <dxf>
      <font>
        <color rgb="008A6D1A"/>
      </font>
      <fill>
        <patternFill patternType="solid">
          <fgColor rgb="00FDF3D8"/>
        </patternFill>
      </fill>
    </dxf>
    <dxf>
      <font>
        <color rgb="00A03B3B"/>
      </font>
      <fill>
        <patternFill patternType="solid">
          <fgColor rgb="00FBEAE8"/>
        </patternFill>
      </fill>
    </dxf>
    <dxf>
      <font>
        <b val="1"/>
        <color rgb="001E6B3C"/>
      </font>
      <fill>
        <patternFill patternType="solid">
          <fgColor rgb="00C8E6C9"/>
        </patternFill>
      </fill>
    </dxf>
    <dxf>
      <font>
        <b val="1"/>
        <color rgb="00A03B3B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styles" Target="styles.xml" Id="rId37" /><Relationship Type="http://schemas.openxmlformats.org/officeDocument/2006/relationships/theme" Target="theme/theme1.xml" Id="rId38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Sebaran Level SSI</a:t>
            </a:r>
          </a:p>
        </rich>
      </tx>
      <overlay val="0"/>
    </title>
    <plotArea>
      <doughnutChart>
        <varyColors val="1"/>
        <ser>
          <idx val="0"/>
          <order val="0"/>
          <tx>
            <strRef>
              <f>'Data Dashboard'!B3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F2A44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E3D66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3D5A99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159BD3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4FB8E3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8AD0EC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1E6B3C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3E9D63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7DC38F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>
                <a:srgbClr val="C8A24B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>
                <a:srgbClr val="E0BE6E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>
                <a:srgbClr val="F0D9A0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>
                <a:srgbClr val="C25450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13"/>
            <spPr>
              <a:solidFill>
                <a:srgbClr val="D98380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14"/>
            <spPr>
              <a:solidFill>
                <a:srgbClr val="EAB1AE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dPt>
            <idx val="15"/>
            <spPr>
              <a:solidFill>
                <a:srgbClr val="9CA3AF"/>
              </a:solidFill>
              <a:ln w="6350">
                <a:solidFill>
                  <a:srgbClr val="FFFFFF"/>
                </a:solidFill>
                <a:prstDash val="solid"/>
              </a:ln>
            </spPr>
          </dPt>
          <cat>
            <numRef>
              <f>'Data Dashboard'!$A$4:$A$19</f>
            </numRef>
          </cat>
          <val>
            <numRef>
              <f>'Data Dashboard'!$B$4:$B$19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showLegendKey val="0"/>
          <showVal val="1"/>
          <showCatName val="0"/>
          <showSerName val="0"/>
          <showPercent val="0"/>
        </dLbls>
        <firstSliceAng val="0"/>
        <holeSize val="55"/>
      </doughnutChart>
    </plotArea>
    <legend>
      <legendPos val="r"/>
      <overlay val="0"/>
      <txPr>
        <a:bodyPr/>
        <a:p>
          <a:pPr>
            <a:defRPr sz="800" b="0">
              <a:solidFill>
                <a:srgbClr val="000000"/>
              </a:solidFill>
              <a:latin typeface="Arial"/>
            </a:defRPr>
          </a:pPr>
          <a:r>
            <a:t/>
          </a:r>
          <a:endParaRPr sz="800" b="0">
            <a:solidFill>
              <a:srgbClr val="000000"/>
            </a:solidFill>
            <a:latin typeface="Arial"/>
          </a:endParaRPr>
        </a:p>
      </txPr>
    </legend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8 Coach dengan Siswa Terbanyak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'Data Dashboard'!U3</f>
            </strRef>
          </tx>
          <spPr>
            <a:solidFill>
              <a:srgbClr val="1F2A44"/>
            </a:solidFill>
            <a:ln>
              <a:noFill/>
              <a:prstDash val="solid"/>
            </a:ln>
          </spPr>
          <cat>
            <numRef>
              <f>'Data Dashboard'!$T$4:$T$11</f>
            </numRef>
          </cat>
          <val>
            <numRef>
              <f>'Data Dashboard'!$U$4:$U$11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b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Siswa per Program/Kelas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Dashboard'!E3</f>
            </strRef>
          </tx>
          <spPr>
            <a:solidFill>
              <a:srgbClr val="159BD3"/>
            </a:solidFill>
            <a:ln>
              <a:noFill/>
              <a:prstDash val="solid"/>
            </a:ln>
          </spPr>
          <cat>
            <numRef>
              <f>'Data Dashboard'!$D$4:$D$9</f>
            </numRef>
          </cat>
          <val>
            <numRef>
              <f>'Data Dashboard'!$E$4:$E$9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Siswa per Risiko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Dashboard'!H3</f>
            </strRef>
          </tx>
          <spPr>
            <a:solidFill>
              <a:srgbClr val="1F2A44"/>
            </a:solidFill>
            <a:ln>
              <a:noFill/>
              <a:prstDash val="solid"/>
            </a:ln>
          </spPr>
          <dPt>
            <idx val="0"/>
            <spPr>
              <a:solidFill>
                <a:srgbClr val="3E9D63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C8A24B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C25450"/>
              </a:solidFill>
              <a:ln>
                <a:noFill/>
                <a:prstDash val="solid"/>
              </a:ln>
            </spPr>
          </dPt>
          <cat>
            <numRef>
              <f>'Data Dashboard'!$G$4:$G$6</f>
            </numRef>
          </cat>
          <val>
            <numRef>
              <f>'Data Dashboard'!$H$4:$H$6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11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Sesi Latihan per Lokasi (dari jadwal)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'Data Dashboard'!K3</f>
            </strRef>
          </tx>
          <spPr>
            <a:solidFill>
              <a:srgbClr val="1F2A44"/>
            </a:solidFill>
            <a:ln>
              <a:noFill/>
              <a:prstDash val="solid"/>
            </a:ln>
          </spPr>
          <cat>
            <numRef>
              <f>'Data Dashboard'!$J$4:$J$9</f>
            </numRef>
          </cat>
          <val>
            <numRef>
              <f>'Data Dashboard'!$K$4:$K$9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60"/>
        <overlap val="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 sz="1100" b="1">
                <a:solidFill>
                  <a:srgbClr val="1F2A44"/>
                </a:solidFill>
                <a:latin typeface="Arial"/>
              </a:defRPr>
            </a:pPr>
            <a:r>
              <a:rPr sz="1100" b="1">
                <a:solidFill>
                  <a:srgbClr val="1F2A44"/>
                </a:solidFill>
                <a:latin typeface="Arial"/>
              </a:rPr>
              <a:t>Sesi Latihan per Kolam (dari jadwal)</a:t>
            </a:r>
          </a:p>
        </rich>
      </tx>
      <overlay val="0"/>
    </title>
    <plotArea>
      <barChart>
        <barDir val="bar"/>
        <grouping val="clustered"/>
        <ser>
          <idx val="0"/>
          <order val="0"/>
          <tx>
            <strRef>
              <f>'Data Dashboard'!N3</f>
            </strRef>
          </tx>
          <spPr>
            <a:solidFill>
              <a:srgbClr val="159BD3"/>
            </a:solidFill>
            <a:ln>
              <a:noFill/>
              <a:prstDash val="solid"/>
            </a:ln>
          </spPr>
          <cat>
            <numRef>
              <f>'Data Dashboard'!$M$4:$M$27</f>
            </numRef>
          </cat>
          <val>
            <numRef>
              <f>'Data Dashboard'!$N$4:$N$27</f>
            </numRef>
          </val>
        </ser>
        <dLbls>
          <numFmt formatCode="#,##0;;"/>
          <txPr>
            <a:bodyPr/>
            <a:p>
              <a:pPr>
                <a:defRPr sz="900" b="0">
                  <a:solidFill>
                    <a:srgbClr val="1F2A44"/>
                  </a:solidFill>
                  <a:latin typeface="Arial"/>
                </a:defRPr>
              </a:pPr>
              <a:r>
                <a:t/>
              </a:r>
              <a:endParaRPr sz="900" b="0">
                <a:solidFill>
                  <a:srgbClr val="1F2A44"/>
                </a:solidFill>
                <a:latin typeface="Arial"/>
              </a:endParaRPr>
            </a:p>
          </txPr>
          <dLblPos val="outEnd"/>
          <showLegendKey val="0"/>
          <showVal val="1"/>
          <showCatName val="0"/>
          <showSerName val="0"/>
          <showPercent val="0"/>
        </dLbls>
        <gapWidth val="40"/>
        <overlap val="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0"/>
        <lblOffset val="100"/>
      </catAx>
      <valAx>
        <axId val="100"/>
        <scaling>
          <orientation val="minMax"/>
          <min val="0"/>
        </scaling>
        <delete val="0"/>
        <axPos val="b"/>
        <majorGridlines>
          <spPr>
            <a:ln>
              <a:solidFill>
                <a:srgbClr val="E5E7EB"/>
              </a:solidFill>
              <a:prstDash val="solid"/>
            </a:ln>
          </spPr>
        </majorGridlines>
        <numFmt formatCode="#,##0" sourceLinked="0"/>
        <majorTickMark val="none"/>
        <minorTickMark val="none"/>
        <spPr>
          <a:ln>
            <a:solidFill>
              <a:srgbClr val="B3B3B3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000000"/>
                </a:solidFill>
                <a:latin typeface="Arial"/>
              </a:defRPr>
            </a:pPr>
            <a:r>
              <a:t/>
            </a:r>
            <a:endParaRPr sz="900" b="0">
              <a:solidFill>
                <a:srgbClr val="000000"/>
              </a:solidFill>
              <a:latin typeface="Arial"/>
            </a:endParaRPr>
          </a:p>
        </txPr>
        <crossAx val="10"/>
        <crosses val="max"/>
      </valAx>
    </plotArea>
    <plotVisOnly val="1"/>
    <dispBlanksAs val="gap"/>
  </chart>
  <spPr>
    <a:solidFill>
      <a:srgbClr val="FFFFFF"/>
    </a:solidFill>
    <a:ln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10</row>
      <rowOff>0</rowOff>
    </from>
    <ext cx="4176000" cy="2736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10</row>
      <rowOff>0</rowOff>
    </from>
    <ext cx="4176000" cy="2736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27</row>
      <rowOff>0</rowOff>
    </from>
    <ext cx="4176000" cy="2736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27</row>
      <rowOff>0</rowOff>
    </from>
    <ext cx="4176000" cy="2736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44</row>
      <rowOff>0</rowOff>
    </from>
    <ext cx="4176000" cy="396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44</row>
      <rowOff>0</rowOff>
    </from>
    <ext cx="4176000" cy="396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P75"/>
  <sheetViews>
    <sheetView showGridLines="0" zoomScale="100" workbookViewId="0">
      <selection activeCell="A1" sqref="A1"/>
    </sheetView>
  </sheetViews>
  <sheetFormatPr baseColWidth="8" defaultRowHeight="15"/>
  <cols>
    <col width="2.2" customWidth="1" min="1" max="1"/>
    <col width="9.6" customWidth="1" min="2" max="2"/>
    <col width="9.6" customWidth="1" min="3" max="3"/>
    <col width="9.6" customWidth="1" min="4" max="4"/>
    <col width="1.8" customWidth="1" min="5" max="5"/>
    <col width="9.6" customWidth="1" min="6" max="6"/>
    <col width="9.6" customWidth="1" min="7" max="7"/>
    <col width="9.6" customWidth="1" min="8" max="8"/>
    <col width="1.8" customWidth="1" min="9" max="9"/>
    <col width="9.6" customWidth="1" min="10" max="10"/>
    <col width="9.6" customWidth="1" min="11" max="11"/>
    <col width="9.6" customWidth="1" min="12" max="12"/>
    <col width="1.8" customWidth="1" min="13" max="13"/>
    <col width="9.6" customWidth="1" min="14" max="14"/>
    <col width="9.6" customWidth="1" min="15" max="15"/>
    <col width="9.6" customWidth="1" min="16" max="16"/>
    <col width="2.2" customWidth="1" min="17" max="17"/>
  </cols>
  <sheetData>
    <row r="1" ht="7.5" customHeight="1"/>
    <row r="2" ht="36" customHeight="1">
      <c r="B2" s="1" t="inlineStr">
        <is>
          <t>TWENTY SWIM  -  DASHBOARD LEVEL &amp; JADWAL COACH (BANDUNG)</t>
        </is>
      </c>
    </row>
    <row r="3" ht="15" customHeight="1">
      <c r="B3" s="2" t="inlineStr">
        <is>
          <t>Semua angka dihitung otomatis dari 30 tab coach - tambah/ubah siswa di tab coach, dashboard ikut berubah.</t>
        </is>
      </c>
    </row>
    <row r="4" ht="9.75" customHeight="1"/>
    <row r="5" ht="18" customHeight="1">
      <c r="B5" s="3" t="inlineStr">
        <is>
          <t>TOTAL SISWA</t>
        </is>
      </c>
      <c r="C5" s="4" t="n"/>
      <c r="D5" s="4" t="n"/>
      <c r="F5" s="5" t="inlineStr">
        <is>
          <t>JUMLAH COACH</t>
        </is>
      </c>
      <c r="G5" s="6" t="n"/>
      <c r="H5" s="6" t="n"/>
      <c r="J5" s="7" t="inlineStr">
        <is>
          <t>SOSIALISASI SUDAH</t>
        </is>
      </c>
      <c r="K5" s="8" t="n"/>
      <c r="L5" s="8" t="n"/>
      <c r="N5" s="9" t="inlineStr">
        <is>
          <t>SOSIALISASI BELUM</t>
        </is>
      </c>
      <c r="O5" s="10" t="n"/>
      <c r="P5" s="10" t="n"/>
    </row>
    <row r="6" ht="21" customHeight="1">
      <c r="B6" s="11">
        <f>COUNTA('Aina Triyana Anggraini'!$B$5:$B$54)+COUNTA('Aldi Suryadinata'!$B$5:$B$54)+COUNTA('Asyahlan Hielmy'!$B$5:$B$54)+COUNTA('Asyira Nur Haida'!$B$5:$B$54)+COUNTA('Bayu Rizki Alfarizi'!$B$5:$B$54)+COUNTA('Chandanie Nely Agustin'!$B$5:$B$54)+COUNTA('Dida Zein Risty'!$B$5:$B$54)+COUNTA('Fadil Rijatul Haq'!$B$5:$B$54)+COUNTA('Faega Fitriani Dwi Putri'!$B$5:$B$54)+COUNTA('Fajri Rizki Robbani'!$B$5:$B$54)+COUNTA('Fakhri Safrudin Sopandi'!$B$5:$B$54)+COUNTA('Moh. Rizky Nugraha'!$B$5:$B$54)+COUNTA('Muhammad Akbar Putra'!$B$5:$B$54)+COUNTA('Muhammad Hafidz Ramadhan'!$B$5:$B$54)+COUNTA('Muhammad Lutfhi Mubarrok'!$B$5:$B$54)+COUNTA('Muhammad Nadhira Shafar'!$B$5:$B$54)+COUNTA('Muhammad Rafi Fakhrul Aiman'!$B$5:$B$54)+COUNTA('Muhammad Reyvin Aryaguna'!$B$5:$B$54)+COUNTA('Nadzar Akbar Subagja'!$B$5:$B$54)+COUNTA('Najwan Muhammad Ghalib'!$B$5:$B$54)+COUNTA('Nia Rizkiyanti'!$B$5:$B$54)+COUNTA('Nur Ainillah Nabawi'!$B$5:$B$54)+COUNTA('Nurul Khairunnissa'!$B$5:$B$54)+COUNTA('Putri Maharani'!$B$5:$B$54)+COUNTA('Rika Kartika'!$B$5:$B$54)+COUNTA('Riva Nur Fathiya Safitri'!$B$5:$B$54)+COUNTA('Shintia Nur Fadillah'!$B$5:$B$54)+COUNTA('Sinta Faoziah'!$B$5:$B$54)+COUNTA('Tiara Anastasya Gumilar'!$B$5:$B$54)+COUNTA('Tiara Maelani'!$B$5:$B$54)</f>
        <v/>
      </c>
      <c r="C6" s="4" t="n"/>
      <c r="D6" s="4" t="n"/>
      <c r="F6" s="12">
        <f>COUNTA(Daftar!$I$2:$I$31)</f>
        <v/>
      </c>
      <c r="G6" s="6" t="n"/>
      <c r="H6" s="6" t="n"/>
      <c r="J6" s="13">
        <f>COUNTIF('Aina Triyana Anggraini'!$G$5:$G$54,"Sudah")+COUNTIF('Aldi Suryadinata'!$G$5:$G$54,"Sudah")+COUNTIF('Asyahlan Hielmy'!$G$5:$G$54,"Sudah")+COUNTIF('Asyira Nur Haida'!$G$5:$G$54,"Sudah")+COUNTIF('Bayu Rizki Alfarizi'!$G$5:$G$54,"Sudah")+COUNTIF('Chandanie Nely Agustin'!$G$5:$G$54,"Sudah")+COUNTIF('Dida Zein Risty'!$G$5:$G$54,"Sudah")+COUNTIF('Fadil Rijatul Haq'!$G$5:$G$54,"Sudah")+COUNTIF('Faega Fitriani Dwi Putri'!$G$5:$G$54,"Sudah")+COUNTIF('Fajri Rizki Robbani'!$G$5:$G$54,"Sudah")+COUNTIF('Fakhri Safrudin Sopandi'!$G$5:$G$54,"Sudah")+COUNTIF('Moh. Rizky Nugraha'!$G$5:$G$54,"Sudah")+COUNTIF('Muhammad Akbar Putra'!$G$5:$G$54,"Sudah")+COUNTIF('Muhammad Hafidz Ramadhan'!$G$5:$G$54,"Sudah")+COUNTIF('Muhammad Lutfhi Mubarrok'!$G$5:$G$54,"Sudah")+COUNTIF('Muhammad Nadhira Shafar'!$G$5:$G$54,"Sudah")+COUNTIF('Muhammad Rafi Fakhrul Aiman'!$G$5:$G$54,"Sudah")+COUNTIF('Muhammad Reyvin Aryaguna'!$G$5:$G$54,"Sudah")+COUNTIF('Nadzar Akbar Subagja'!$G$5:$G$54,"Sudah")+COUNTIF('Najwan Muhammad Ghalib'!$G$5:$G$54,"Sudah")+COUNTIF('Nia Rizkiyanti'!$G$5:$G$54,"Sudah")+COUNTIF('Nur Ainillah Nabawi'!$G$5:$G$54,"Sudah")+COUNTIF('Nurul Khairunnissa'!$G$5:$G$54,"Sudah")+COUNTIF('Putri Maharani'!$G$5:$G$54,"Sudah")+COUNTIF('Rika Kartika'!$G$5:$G$54,"Sudah")+COUNTIF('Riva Nur Fathiya Safitri'!$G$5:$G$54,"Sudah")+COUNTIF('Shintia Nur Fadillah'!$G$5:$G$54,"Sudah")+COUNTIF('Sinta Faoziah'!$G$5:$G$54,"Sudah")+COUNTIF('Tiara Anastasya Gumilar'!$G$5:$G$54,"Sudah")+COUNTIF('Tiara Maelani'!$G$5:$G$54,"Sudah")</f>
        <v/>
      </c>
      <c r="K6" s="8" t="n"/>
      <c r="L6" s="8" t="n"/>
      <c r="N6" s="14">
        <f>COUNTIF('Aina Triyana Anggraini'!$G$5:$G$54,"Belum")+COUNTIF('Aldi Suryadinata'!$G$5:$G$54,"Belum")+COUNTIF('Asyahlan Hielmy'!$G$5:$G$54,"Belum")+COUNTIF('Asyira Nur Haida'!$G$5:$G$54,"Belum")+COUNTIF('Bayu Rizki Alfarizi'!$G$5:$G$54,"Belum")+COUNTIF('Chandanie Nely Agustin'!$G$5:$G$54,"Belum")+COUNTIF('Dida Zein Risty'!$G$5:$G$54,"Belum")+COUNTIF('Fadil Rijatul Haq'!$G$5:$G$54,"Belum")+COUNTIF('Faega Fitriani Dwi Putri'!$G$5:$G$54,"Belum")+COUNTIF('Fajri Rizki Robbani'!$G$5:$G$54,"Belum")+COUNTIF('Fakhri Safrudin Sopandi'!$G$5:$G$54,"Belum")+COUNTIF('Moh. Rizky Nugraha'!$G$5:$G$54,"Belum")+COUNTIF('Muhammad Akbar Putra'!$G$5:$G$54,"Belum")+COUNTIF('Muhammad Hafidz Ramadhan'!$G$5:$G$54,"Belum")+COUNTIF('Muhammad Lutfhi Mubarrok'!$G$5:$G$54,"Belum")+COUNTIF('Muhammad Nadhira Shafar'!$G$5:$G$54,"Belum")+COUNTIF('Muhammad Rafi Fakhrul Aiman'!$G$5:$G$54,"Belum")+COUNTIF('Muhammad Reyvin Aryaguna'!$G$5:$G$54,"Belum")+COUNTIF('Nadzar Akbar Subagja'!$G$5:$G$54,"Belum")+COUNTIF('Najwan Muhammad Ghalib'!$G$5:$G$54,"Belum")+COUNTIF('Nia Rizkiyanti'!$G$5:$G$54,"Belum")+COUNTIF('Nur Ainillah Nabawi'!$G$5:$G$54,"Belum")+COUNTIF('Nurul Khairunnissa'!$G$5:$G$54,"Belum")+COUNTIF('Putri Maharani'!$G$5:$G$54,"Belum")+COUNTIF('Rika Kartika'!$G$5:$G$54,"Belum")+COUNTIF('Riva Nur Fathiya Safitri'!$G$5:$G$54,"Belum")+COUNTIF('Shintia Nur Fadillah'!$G$5:$G$54,"Belum")+COUNTIF('Sinta Faoziah'!$G$5:$G$54,"Belum")+COUNTIF('Tiara Anastasya Gumilar'!$G$5:$G$54,"Belum")+COUNTIF('Tiara Maelani'!$G$5:$G$54,"Belum")</f>
        <v/>
      </c>
      <c r="O6" s="10" t="n"/>
      <c r="P6" s="10" t="n"/>
    </row>
    <row r="7" ht="21" customHeight="1">
      <c r="B7" s="4" t="n"/>
      <c r="C7" s="4" t="n"/>
      <c r="D7" s="4" t="n"/>
      <c r="F7" s="6" t="n"/>
      <c r="G7" s="6" t="n"/>
      <c r="H7" s="6" t="n"/>
      <c r="J7" s="8" t="n"/>
      <c r="K7" s="8" t="n"/>
      <c r="L7" s="8" t="n"/>
      <c r="N7" s="10" t="n"/>
      <c r="O7" s="10" t="n"/>
      <c r="P7" s="10" t="n"/>
    </row>
    <row r="8" ht="15" customHeight="1">
      <c r="B8" s="15" t="inlineStr">
        <is>
          <t>nama terisi di 30 tab coach</t>
        </is>
      </c>
      <c r="C8" s="4" t="n"/>
      <c r="D8" s="4" t="n"/>
      <c r="F8" s="16" t="inlineStr">
        <is>
          <t>tab coach aktif</t>
        </is>
      </c>
      <c r="G8" s="6" t="n"/>
      <c r="H8" s="6" t="n"/>
      <c r="J8" s="17" t="inlineStr">
        <is>
          <t>keselamatan ke ortu: Sudah</t>
        </is>
      </c>
      <c r="K8" s="8" t="n"/>
      <c r="L8" s="8" t="n"/>
      <c r="N8" s="18" t="inlineStr">
        <is>
          <t>keselamatan ke ortu: Belum</t>
        </is>
      </c>
      <c r="O8" s="10" t="n"/>
      <c r="P8" s="10" t="n"/>
    </row>
    <row r="9" ht="9.75" customHeight="1"/>
    <row r="10" ht="18" customHeight="1">
      <c r="B10" s="19" t="inlineStr">
        <is>
          <t>SEBARAN SISWA</t>
        </is>
      </c>
    </row>
    <row r="27" ht="18" customHeight="1">
      <c r="B27" s="19" t="inlineStr">
        <is>
          <t>PROGRAM &amp; RISIKO</t>
        </is>
      </c>
    </row>
    <row r="44" ht="18" customHeight="1">
      <c r="B44" s="19" t="inlineStr">
        <is>
          <t>LOKASI &amp; KOLAM (DARI TABEL JADWAL)</t>
        </is>
      </c>
    </row>
    <row r="68" ht="18" customHeight="1">
      <c r="B68" s="20" t="inlineStr">
        <is>
          <t>RINGKASAN ANGKA</t>
        </is>
      </c>
    </row>
    <row r="69" ht="15" customHeight="1">
      <c r="B69" s="21" t="inlineStr">
        <is>
          <t>Status PA</t>
        </is>
      </c>
      <c r="D69" s="22">
        <f>'Data Dashboard'!H17</f>
        <v/>
      </c>
      <c r="J69" s="21" t="inlineStr">
        <is>
          <t>Program belum diisi</t>
        </is>
      </c>
      <c r="L69" s="22">
        <f>'Data Dashboard'!E10</f>
        <v/>
      </c>
    </row>
    <row r="70" ht="15" customHeight="1">
      <c r="B70" s="21" t="inlineStr">
        <is>
          <t>Status Standalone</t>
        </is>
      </c>
      <c r="D70" s="22">
        <f>'Data Dashboard'!H18</f>
        <v/>
      </c>
      <c r="J70" s="21" t="inlineStr">
        <is>
          <t>Risiko belum diisi</t>
        </is>
      </c>
      <c r="L70" s="22">
        <f>'Data Dashboard'!H7</f>
        <v/>
      </c>
    </row>
    <row r="71" ht="15" customHeight="1">
      <c r="B71" s="21" t="inlineStr">
        <is>
          <t>Level belum diisi</t>
        </is>
      </c>
      <c r="D71" s="22">
        <f>'Data Dashboard'!B19</f>
        <v/>
      </c>
      <c r="J71" s="21" t="inlineStr">
        <is>
          <t>Sosialisasi belum diisi</t>
        </is>
      </c>
      <c r="L71" s="22">
        <f>'Data Dashboard'!H13</f>
        <v/>
      </c>
    </row>
    <row r="74">
      <c r="B74" s="23" t="inlineStr">
        <is>
          <t>Privasi: dashboard hanya menampilkan angka agregat - tanpa nama siswa.</t>
        </is>
      </c>
    </row>
    <row r="75">
      <c r="B75" s="23" t="inlineStr">
        <is>
          <t>Catatan: grafik Lokasi &amp; Kolam menghitung baris jadwal yang diisi di tabel kanan tiap tab coach; Top 8 coach dihitung dari jumlah nama di tiap tab.</t>
        </is>
      </c>
    </row>
  </sheetData>
  <mergeCells count="18">
    <mergeCell ref="N6:P7"/>
    <mergeCell ref="J5:L5"/>
    <mergeCell ref="B5:D5"/>
    <mergeCell ref="B6:D7"/>
    <mergeCell ref="B2:P2"/>
    <mergeCell ref="F5:H5"/>
    <mergeCell ref="F6:H7"/>
    <mergeCell ref="J6:L7"/>
    <mergeCell ref="B10:P10"/>
    <mergeCell ref="B8:D8"/>
    <mergeCell ref="B3:P3"/>
    <mergeCell ref="F8:H8"/>
    <mergeCell ref="N5:P5"/>
    <mergeCell ref="J8:L8"/>
    <mergeCell ref="B27:P27"/>
    <mergeCell ref="N8:P8"/>
    <mergeCell ref="B68:P68"/>
    <mergeCell ref="B44:P44"/>
  </mergeCells>
  <pageMargins left="0.75" right="0.75" top="1" bottom="1" header="0.5" footer="0.5"/>
  <pageSetup orientation="portrait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49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20" customWidth="1" min="3" max="3"/>
    <col width="18" customWidth="1" min="4" max="4"/>
    <col width="8" customWidth="1" min="5" max="5"/>
    <col width="18" customWidth="1" min="6" max="6"/>
  </cols>
  <sheetData>
    <row r="1" ht="22" customHeight="1">
      <c r="A1" s="24" t="inlineStr">
        <is>
          <t>TWENTY SWIM  -  DAFTAR MEMBER AKTIF</t>
        </is>
      </c>
    </row>
    <row r="2">
      <c r="A2" s="21" t="inlineStr">
        <is>
          <t>Gabungan semua siswa dari 30 tab coach, urut abjad. Pilih filter di bawah (kosongkan = tampilkan semua).</t>
        </is>
      </c>
    </row>
    <row r="3" ht="20" customHeight="1">
      <c r="A3" s="25" t="inlineStr">
        <is>
          <t>Coach:</t>
        </is>
      </c>
      <c r="B3" s="26" t="n"/>
      <c r="C3" s="25" t="inlineStr">
        <is>
          <t>Program:</t>
        </is>
      </c>
      <c r="D3" s="26" t="n"/>
      <c r="E3" s="25" t="inlineStr">
        <is>
          <t>Level:</t>
        </is>
      </c>
      <c r="F3" s="26" t="n"/>
    </row>
    <row r="4">
      <c r="A4" s="27" t="inlineStr">
        <is>
          <t>Ditampilkan:</t>
        </is>
      </c>
      <c r="B4" s="28">
        <f>COUNTA($B$6:$B$2000)</f>
        <v/>
      </c>
      <c r="C4" s="21" t="inlineStr">
        <is>
          <t>siswa</t>
        </is>
      </c>
    </row>
    <row r="5" ht="22" customHeight="1">
      <c r="A5" s="29" t="inlineStr">
        <is>
          <t>Nama Siswa</t>
        </is>
      </c>
      <c r="B5" s="29" t="inlineStr">
        <is>
          <t>Coach</t>
        </is>
      </c>
      <c r="C5" s="29" t="inlineStr">
        <is>
          <t>Program/Kelas</t>
        </is>
      </c>
      <c r="D5" s="29" t="inlineStr">
        <is>
          <t>Level</t>
        </is>
      </c>
    </row>
    <row r="6">
      <c r="A6" s="30">
        <f>IFERROR(FILTER(DataMember!$A$2:$D$2000,DataMember!$A$2:$A$2000&lt;&gt;"",(((DataMember!$B$2:$B$2000=$B$3)+($B$3=""))&gt;0),(((DataMember!$C$2:$C$2000=$D$3)+($D$3=""))&gt;0),(((DataMember!$D$2:$D$2000=$F$3)+($F$3=""))&gt;0)),"Tidak ada siswa untuk filter ini.")</f>
        <v/>
      </c>
      <c r="B6" s="30" t="n"/>
      <c r="C6" s="30" t="n"/>
      <c r="D6" s="30" t="n"/>
    </row>
    <row r="7">
      <c r="A7" s="30" t="n"/>
      <c r="B7" s="30" t="n"/>
      <c r="C7" s="30" t="n"/>
      <c r="D7" s="30" t="n"/>
    </row>
    <row r="8">
      <c r="A8" s="30" t="n"/>
      <c r="B8" s="30" t="n"/>
      <c r="C8" s="30" t="n"/>
      <c r="D8" s="30" t="n"/>
    </row>
    <row r="9">
      <c r="A9" s="30" t="n"/>
      <c r="B9" s="30" t="n"/>
      <c r="C9" s="30" t="n"/>
      <c r="D9" s="30" t="n"/>
    </row>
    <row r="10">
      <c r="A10" s="30" t="n"/>
      <c r="B10" s="30" t="n"/>
      <c r="C10" s="30" t="n"/>
      <c r="D10" s="30" t="n"/>
    </row>
    <row r="11">
      <c r="A11" s="30" t="n"/>
      <c r="B11" s="30" t="n"/>
      <c r="C11" s="30" t="n"/>
      <c r="D11" s="30" t="n"/>
    </row>
    <row r="12">
      <c r="A12" s="30" t="n"/>
      <c r="B12" s="30" t="n"/>
      <c r="C12" s="30" t="n"/>
      <c r="D12" s="30" t="n"/>
    </row>
    <row r="13">
      <c r="A13" s="30" t="n"/>
      <c r="B13" s="30" t="n"/>
      <c r="C13" s="30" t="n"/>
      <c r="D13" s="30" t="n"/>
    </row>
    <row r="14">
      <c r="A14" s="30" t="n"/>
      <c r="B14" s="30" t="n"/>
      <c r="C14" s="30" t="n"/>
      <c r="D14" s="30" t="n"/>
    </row>
    <row r="15">
      <c r="A15" s="30" t="n"/>
      <c r="B15" s="30" t="n"/>
      <c r="C15" s="30" t="n"/>
      <c r="D15" s="30" t="n"/>
    </row>
    <row r="16">
      <c r="A16" s="30" t="n"/>
      <c r="B16" s="30" t="n"/>
      <c r="C16" s="30" t="n"/>
      <c r="D16" s="30" t="n"/>
    </row>
    <row r="17">
      <c r="A17" s="30" t="n"/>
      <c r="B17" s="30" t="n"/>
      <c r="C17" s="30" t="n"/>
      <c r="D17" s="30" t="n"/>
    </row>
    <row r="18">
      <c r="A18" s="30" t="n"/>
      <c r="B18" s="30" t="n"/>
      <c r="C18" s="30" t="n"/>
      <c r="D18" s="30" t="n"/>
    </row>
    <row r="19">
      <c r="A19" s="30" t="n"/>
      <c r="B19" s="30" t="n"/>
      <c r="C19" s="30" t="n"/>
      <c r="D19" s="30" t="n"/>
    </row>
    <row r="20">
      <c r="A20" s="30" t="n"/>
      <c r="B20" s="30" t="n"/>
      <c r="C20" s="30" t="n"/>
      <c r="D20" s="30" t="n"/>
    </row>
    <row r="21">
      <c r="A21" s="30" t="n"/>
      <c r="B21" s="30" t="n"/>
      <c r="C21" s="30" t="n"/>
      <c r="D21" s="30" t="n"/>
    </row>
    <row r="22">
      <c r="A22" s="30" t="n"/>
      <c r="B22" s="30" t="n"/>
      <c r="C22" s="30" t="n"/>
      <c r="D22" s="30" t="n"/>
    </row>
    <row r="23">
      <c r="A23" s="30" t="n"/>
      <c r="B23" s="30" t="n"/>
      <c r="C23" s="30" t="n"/>
      <c r="D23" s="30" t="n"/>
    </row>
    <row r="24">
      <c r="A24" s="30" t="n"/>
      <c r="B24" s="30" t="n"/>
      <c r="C24" s="30" t="n"/>
      <c r="D24" s="30" t="n"/>
    </row>
    <row r="25">
      <c r="A25" s="30" t="n"/>
      <c r="B25" s="30" t="n"/>
      <c r="C25" s="30" t="n"/>
      <c r="D25" s="30" t="n"/>
    </row>
    <row r="26">
      <c r="A26" s="30" t="n"/>
      <c r="B26" s="30" t="n"/>
      <c r="C26" s="30" t="n"/>
      <c r="D26" s="30" t="n"/>
    </row>
    <row r="27">
      <c r="A27" s="30" t="n"/>
      <c r="B27" s="30" t="n"/>
      <c r="C27" s="30" t="n"/>
      <c r="D27" s="30" t="n"/>
    </row>
    <row r="28">
      <c r="A28" s="30" t="n"/>
      <c r="B28" s="30" t="n"/>
      <c r="C28" s="30" t="n"/>
      <c r="D28" s="30" t="n"/>
    </row>
    <row r="29">
      <c r="A29" s="30" t="n"/>
      <c r="B29" s="30" t="n"/>
      <c r="C29" s="30" t="n"/>
      <c r="D29" s="30" t="n"/>
    </row>
    <row r="30">
      <c r="A30" s="30" t="n"/>
      <c r="B30" s="30" t="n"/>
      <c r="C30" s="30" t="n"/>
      <c r="D30" s="30" t="n"/>
    </row>
    <row r="31">
      <c r="A31" s="30" t="n"/>
      <c r="B31" s="30" t="n"/>
      <c r="C31" s="30" t="n"/>
      <c r="D31" s="30" t="n"/>
    </row>
    <row r="32">
      <c r="A32" s="30" t="n"/>
      <c r="B32" s="30" t="n"/>
      <c r="C32" s="30" t="n"/>
      <c r="D32" s="30" t="n"/>
    </row>
    <row r="33">
      <c r="A33" s="30" t="n"/>
      <c r="B33" s="30" t="n"/>
      <c r="C33" s="30" t="n"/>
      <c r="D33" s="30" t="n"/>
    </row>
    <row r="34">
      <c r="A34" s="30" t="n"/>
      <c r="B34" s="30" t="n"/>
      <c r="C34" s="30" t="n"/>
      <c r="D34" s="30" t="n"/>
    </row>
    <row r="35">
      <c r="A35" s="30" t="n"/>
      <c r="B35" s="30" t="n"/>
      <c r="C35" s="30" t="n"/>
      <c r="D35" s="30" t="n"/>
    </row>
    <row r="36">
      <c r="A36" s="30" t="n"/>
      <c r="B36" s="30" t="n"/>
      <c r="C36" s="30" t="n"/>
      <c r="D36" s="30" t="n"/>
    </row>
    <row r="37">
      <c r="A37" s="30" t="n"/>
      <c r="B37" s="30" t="n"/>
      <c r="C37" s="30" t="n"/>
      <c r="D37" s="30" t="n"/>
    </row>
    <row r="38">
      <c r="A38" s="30" t="n"/>
      <c r="B38" s="30" t="n"/>
      <c r="C38" s="30" t="n"/>
      <c r="D38" s="30" t="n"/>
    </row>
    <row r="39">
      <c r="A39" s="30" t="n"/>
      <c r="B39" s="30" t="n"/>
      <c r="C39" s="30" t="n"/>
      <c r="D39" s="30" t="n"/>
    </row>
    <row r="40">
      <c r="A40" s="30" t="n"/>
      <c r="B40" s="30" t="n"/>
      <c r="C40" s="30" t="n"/>
      <c r="D40" s="30" t="n"/>
    </row>
    <row r="41">
      <c r="A41" s="30" t="n"/>
      <c r="B41" s="30" t="n"/>
      <c r="C41" s="30" t="n"/>
      <c r="D41" s="30" t="n"/>
    </row>
    <row r="42">
      <c r="A42" s="30" t="n"/>
      <c r="B42" s="30" t="n"/>
      <c r="C42" s="30" t="n"/>
      <c r="D42" s="30" t="n"/>
    </row>
    <row r="43">
      <c r="A43" s="30" t="n"/>
      <c r="B43" s="30" t="n"/>
      <c r="C43" s="30" t="n"/>
      <c r="D43" s="30" t="n"/>
    </row>
    <row r="44">
      <c r="A44" s="30" t="n"/>
      <c r="B44" s="30" t="n"/>
      <c r="C44" s="30" t="n"/>
      <c r="D44" s="30" t="n"/>
    </row>
    <row r="45">
      <c r="A45" s="30" t="n"/>
      <c r="B45" s="30" t="n"/>
      <c r="C45" s="30" t="n"/>
      <c r="D45" s="30" t="n"/>
    </row>
    <row r="46">
      <c r="A46" s="30" t="n"/>
      <c r="B46" s="30" t="n"/>
      <c r="C46" s="30" t="n"/>
      <c r="D46" s="30" t="n"/>
    </row>
    <row r="47">
      <c r="A47" s="30" t="n"/>
      <c r="B47" s="30" t="n"/>
      <c r="C47" s="30" t="n"/>
      <c r="D47" s="30" t="n"/>
    </row>
    <row r="48">
      <c r="A48" s="30" t="n"/>
      <c r="B48" s="30" t="n"/>
      <c r="C48" s="30" t="n"/>
      <c r="D48" s="30" t="n"/>
    </row>
    <row r="49">
      <c r="A49" s="30" t="n"/>
      <c r="B49" s="30" t="n"/>
      <c r="C49" s="30" t="n"/>
      <c r="D49" s="30" t="n"/>
    </row>
    <row r="50">
      <c r="A50" s="30" t="n"/>
      <c r="B50" s="30" t="n"/>
      <c r="C50" s="30" t="n"/>
      <c r="D50" s="30" t="n"/>
    </row>
    <row r="51">
      <c r="A51" s="30" t="n"/>
      <c r="B51" s="30" t="n"/>
      <c r="C51" s="30" t="n"/>
      <c r="D51" s="30" t="n"/>
    </row>
    <row r="52">
      <c r="A52" s="30" t="n"/>
      <c r="B52" s="30" t="n"/>
      <c r="C52" s="30" t="n"/>
      <c r="D52" s="30" t="n"/>
    </row>
    <row r="53">
      <c r="A53" s="30" t="n"/>
      <c r="B53" s="30" t="n"/>
      <c r="C53" s="30" t="n"/>
      <c r="D53" s="30" t="n"/>
    </row>
    <row r="54">
      <c r="A54" s="30" t="n"/>
      <c r="B54" s="30" t="n"/>
      <c r="C54" s="30" t="n"/>
      <c r="D54" s="30" t="n"/>
    </row>
    <row r="55">
      <c r="A55" s="30" t="n"/>
      <c r="B55" s="30" t="n"/>
      <c r="C55" s="30" t="n"/>
      <c r="D55" s="30" t="n"/>
    </row>
    <row r="56">
      <c r="A56" s="30" t="n"/>
      <c r="B56" s="30" t="n"/>
      <c r="C56" s="30" t="n"/>
      <c r="D56" s="30" t="n"/>
    </row>
    <row r="57">
      <c r="A57" s="30" t="n"/>
      <c r="B57" s="30" t="n"/>
      <c r="C57" s="30" t="n"/>
      <c r="D57" s="30" t="n"/>
    </row>
    <row r="58">
      <c r="A58" s="30" t="n"/>
      <c r="B58" s="30" t="n"/>
      <c r="C58" s="30" t="n"/>
      <c r="D58" s="30" t="n"/>
    </row>
    <row r="59">
      <c r="A59" s="30" t="n"/>
      <c r="B59" s="30" t="n"/>
      <c r="C59" s="30" t="n"/>
      <c r="D59" s="30" t="n"/>
    </row>
    <row r="60">
      <c r="A60" s="30" t="n"/>
      <c r="B60" s="30" t="n"/>
      <c r="C60" s="30" t="n"/>
      <c r="D60" s="30" t="n"/>
    </row>
    <row r="61">
      <c r="A61" s="30" t="n"/>
      <c r="B61" s="30" t="n"/>
      <c r="C61" s="30" t="n"/>
      <c r="D61" s="30" t="n"/>
    </row>
    <row r="62">
      <c r="A62" s="30" t="n"/>
      <c r="B62" s="30" t="n"/>
      <c r="C62" s="30" t="n"/>
      <c r="D62" s="30" t="n"/>
    </row>
    <row r="63">
      <c r="A63" s="30" t="n"/>
      <c r="B63" s="30" t="n"/>
      <c r="C63" s="30" t="n"/>
      <c r="D63" s="30" t="n"/>
    </row>
    <row r="64">
      <c r="A64" s="30" t="n"/>
      <c r="B64" s="30" t="n"/>
      <c r="C64" s="30" t="n"/>
      <c r="D64" s="30" t="n"/>
    </row>
    <row r="65">
      <c r="A65" s="30" t="n"/>
      <c r="B65" s="30" t="n"/>
      <c r="C65" s="30" t="n"/>
      <c r="D65" s="30" t="n"/>
    </row>
    <row r="66">
      <c r="A66" s="30" t="n"/>
      <c r="B66" s="30" t="n"/>
      <c r="C66" s="30" t="n"/>
      <c r="D66" s="30" t="n"/>
    </row>
    <row r="67">
      <c r="A67" s="30" t="n"/>
      <c r="B67" s="30" t="n"/>
      <c r="C67" s="30" t="n"/>
      <c r="D67" s="30" t="n"/>
    </row>
    <row r="68">
      <c r="A68" s="30" t="n"/>
      <c r="B68" s="30" t="n"/>
      <c r="C68" s="30" t="n"/>
      <c r="D68" s="30" t="n"/>
    </row>
    <row r="69">
      <c r="A69" s="30" t="n"/>
      <c r="B69" s="30" t="n"/>
      <c r="C69" s="30" t="n"/>
      <c r="D69" s="30" t="n"/>
    </row>
    <row r="70">
      <c r="A70" s="30" t="n"/>
      <c r="B70" s="30" t="n"/>
      <c r="C70" s="30" t="n"/>
      <c r="D70" s="30" t="n"/>
    </row>
    <row r="71">
      <c r="A71" s="30" t="n"/>
      <c r="B71" s="30" t="n"/>
      <c r="C71" s="30" t="n"/>
      <c r="D71" s="30" t="n"/>
    </row>
    <row r="72">
      <c r="A72" s="30" t="n"/>
      <c r="B72" s="30" t="n"/>
      <c r="C72" s="30" t="n"/>
      <c r="D72" s="30" t="n"/>
    </row>
    <row r="73">
      <c r="A73" s="30" t="n"/>
      <c r="B73" s="30" t="n"/>
      <c r="C73" s="30" t="n"/>
      <c r="D73" s="30" t="n"/>
    </row>
    <row r="74">
      <c r="A74" s="30" t="n"/>
      <c r="B74" s="30" t="n"/>
      <c r="C74" s="30" t="n"/>
      <c r="D74" s="30" t="n"/>
    </row>
    <row r="75">
      <c r="A75" s="30" t="n"/>
      <c r="B75" s="30" t="n"/>
      <c r="C75" s="30" t="n"/>
      <c r="D75" s="30" t="n"/>
    </row>
    <row r="76">
      <c r="A76" s="30" t="n"/>
      <c r="B76" s="30" t="n"/>
      <c r="C76" s="30" t="n"/>
      <c r="D76" s="30" t="n"/>
    </row>
    <row r="77">
      <c r="A77" s="30" t="n"/>
      <c r="B77" s="30" t="n"/>
      <c r="C77" s="30" t="n"/>
      <c r="D77" s="30" t="n"/>
    </row>
    <row r="78">
      <c r="A78" s="30" t="n"/>
      <c r="B78" s="30" t="n"/>
      <c r="C78" s="30" t="n"/>
      <c r="D78" s="30" t="n"/>
    </row>
    <row r="79">
      <c r="A79" s="30" t="n"/>
      <c r="B79" s="30" t="n"/>
      <c r="C79" s="30" t="n"/>
      <c r="D79" s="30" t="n"/>
    </row>
    <row r="80">
      <c r="A80" s="30" t="n"/>
      <c r="B80" s="30" t="n"/>
      <c r="C80" s="30" t="n"/>
      <c r="D80" s="30" t="n"/>
    </row>
    <row r="81">
      <c r="A81" s="30" t="n"/>
      <c r="B81" s="30" t="n"/>
      <c r="C81" s="30" t="n"/>
      <c r="D81" s="30" t="n"/>
    </row>
    <row r="82">
      <c r="A82" s="30" t="n"/>
      <c r="B82" s="30" t="n"/>
      <c r="C82" s="30" t="n"/>
      <c r="D82" s="30" t="n"/>
    </row>
    <row r="83">
      <c r="A83" s="30" t="n"/>
      <c r="B83" s="30" t="n"/>
      <c r="C83" s="30" t="n"/>
      <c r="D83" s="30" t="n"/>
    </row>
    <row r="84">
      <c r="A84" s="30" t="n"/>
      <c r="B84" s="30" t="n"/>
      <c r="C84" s="30" t="n"/>
      <c r="D84" s="30" t="n"/>
    </row>
    <row r="85">
      <c r="A85" s="30" t="n"/>
      <c r="B85" s="30" t="n"/>
      <c r="C85" s="30" t="n"/>
      <c r="D85" s="30" t="n"/>
    </row>
    <row r="86">
      <c r="A86" s="30" t="n"/>
      <c r="B86" s="30" t="n"/>
      <c r="C86" s="30" t="n"/>
      <c r="D86" s="30" t="n"/>
    </row>
    <row r="87">
      <c r="A87" s="30" t="n"/>
      <c r="B87" s="30" t="n"/>
      <c r="C87" s="30" t="n"/>
      <c r="D87" s="30" t="n"/>
    </row>
    <row r="88">
      <c r="A88" s="30" t="n"/>
      <c r="B88" s="30" t="n"/>
      <c r="C88" s="30" t="n"/>
      <c r="D88" s="30" t="n"/>
    </row>
    <row r="89">
      <c r="A89" s="30" t="n"/>
      <c r="B89" s="30" t="n"/>
      <c r="C89" s="30" t="n"/>
      <c r="D89" s="30" t="n"/>
    </row>
    <row r="90">
      <c r="A90" s="30" t="n"/>
      <c r="B90" s="30" t="n"/>
      <c r="C90" s="30" t="n"/>
      <c r="D90" s="30" t="n"/>
    </row>
    <row r="91">
      <c r="A91" s="30" t="n"/>
      <c r="B91" s="30" t="n"/>
      <c r="C91" s="30" t="n"/>
      <c r="D91" s="30" t="n"/>
    </row>
    <row r="92">
      <c r="A92" s="30" t="n"/>
      <c r="B92" s="30" t="n"/>
      <c r="C92" s="30" t="n"/>
      <c r="D92" s="30" t="n"/>
    </row>
    <row r="93">
      <c r="A93" s="30" t="n"/>
      <c r="B93" s="30" t="n"/>
      <c r="C93" s="30" t="n"/>
      <c r="D93" s="30" t="n"/>
    </row>
    <row r="94">
      <c r="A94" s="30" t="n"/>
      <c r="B94" s="30" t="n"/>
      <c r="C94" s="30" t="n"/>
      <c r="D94" s="30" t="n"/>
    </row>
    <row r="95">
      <c r="A95" s="30" t="n"/>
      <c r="B95" s="30" t="n"/>
      <c r="C95" s="30" t="n"/>
      <c r="D95" s="30" t="n"/>
    </row>
    <row r="96">
      <c r="A96" s="30" t="n"/>
      <c r="B96" s="30" t="n"/>
      <c r="C96" s="30" t="n"/>
      <c r="D96" s="30" t="n"/>
    </row>
    <row r="97">
      <c r="A97" s="30" t="n"/>
      <c r="B97" s="30" t="n"/>
      <c r="C97" s="30" t="n"/>
      <c r="D97" s="30" t="n"/>
    </row>
    <row r="98">
      <c r="A98" s="30" t="n"/>
      <c r="B98" s="30" t="n"/>
      <c r="C98" s="30" t="n"/>
      <c r="D98" s="30" t="n"/>
    </row>
    <row r="99">
      <c r="A99" s="30" t="n"/>
      <c r="B99" s="30" t="n"/>
      <c r="C99" s="30" t="n"/>
      <c r="D99" s="30" t="n"/>
    </row>
    <row r="100">
      <c r="A100" s="30" t="n"/>
      <c r="B100" s="30" t="n"/>
      <c r="C100" s="30" t="n"/>
      <c r="D100" s="30" t="n"/>
    </row>
    <row r="101">
      <c r="A101" s="30" t="n"/>
      <c r="B101" s="30" t="n"/>
      <c r="C101" s="30" t="n"/>
      <c r="D101" s="30" t="n"/>
    </row>
    <row r="102">
      <c r="A102" s="30" t="n"/>
      <c r="B102" s="30" t="n"/>
      <c r="C102" s="30" t="n"/>
      <c r="D102" s="30" t="n"/>
    </row>
    <row r="103">
      <c r="A103" s="30" t="n"/>
      <c r="B103" s="30" t="n"/>
      <c r="C103" s="30" t="n"/>
      <c r="D103" s="30" t="n"/>
    </row>
    <row r="104">
      <c r="A104" s="30" t="n"/>
      <c r="B104" s="30" t="n"/>
      <c r="C104" s="30" t="n"/>
      <c r="D104" s="30" t="n"/>
    </row>
    <row r="105">
      <c r="A105" s="30" t="n"/>
      <c r="B105" s="30" t="n"/>
      <c r="C105" s="30" t="n"/>
      <c r="D105" s="30" t="n"/>
    </row>
    <row r="106">
      <c r="A106" s="30" t="n"/>
      <c r="B106" s="30" t="n"/>
      <c r="C106" s="30" t="n"/>
      <c r="D106" s="30" t="n"/>
    </row>
    <row r="107">
      <c r="A107" s="30" t="n"/>
      <c r="B107" s="30" t="n"/>
      <c r="C107" s="30" t="n"/>
      <c r="D107" s="30" t="n"/>
    </row>
    <row r="108">
      <c r="A108" s="30" t="n"/>
      <c r="B108" s="30" t="n"/>
      <c r="C108" s="30" t="n"/>
      <c r="D108" s="30" t="n"/>
    </row>
    <row r="109">
      <c r="A109" s="30" t="n"/>
      <c r="B109" s="30" t="n"/>
      <c r="C109" s="30" t="n"/>
      <c r="D109" s="30" t="n"/>
    </row>
    <row r="110">
      <c r="A110" s="30" t="n"/>
      <c r="B110" s="30" t="n"/>
      <c r="C110" s="30" t="n"/>
      <c r="D110" s="30" t="n"/>
    </row>
    <row r="111">
      <c r="A111" s="30" t="n"/>
      <c r="B111" s="30" t="n"/>
      <c r="C111" s="30" t="n"/>
      <c r="D111" s="30" t="n"/>
    </row>
    <row r="112">
      <c r="A112" s="30" t="n"/>
      <c r="B112" s="30" t="n"/>
      <c r="C112" s="30" t="n"/>
      <c r="D112" s="30" t="n"/>
    </row>
    <row r="113">
      <c r="A113" s="30" t="n"/>
      <c r="B113" s="30" t="n"/>
      <c r="C113" s="30" t="n"/>
      <c r="D113" s="30" t="n"/>
    </row>
    <row r="114">
      <c r="A114" s="30" t="n"/>
      <c r="B114" s="30" t="n"/>
      <c r="C114" s="30" t="n"/>
      <c r="D114" s="30" t="n"/>
    </row>
    <row r="115">
      <c r="A115" s="30" t="n"/>
      <c r="B115" s="30" t="n"/>
      <c r="C115" s="30" t="n"/>
      <c r="D115" s="30" t="n"/>
    </row>
    <row r="116">
      <c r="A116" s="30" t="n"/>
      <c r="B116" s="30" t="n"/>
      <c r="C116" s="30" t="n"/>
      <c r="D116" s="30" t="n"/>
    </row>
    <row r="117">
      <c r="A117" s="30" t="n"/>
      <c r="B117" s="30" t="n"/>
      <c r="C117" s="30" t="n"/>
      <c r="D117" s="30" t="n"/>
    </row>
    <row r="118">
      <c r="A118" s="30" t="n"/>
      <c r="B118" s="30" t="n"/>
      <c r="C118" s="30" t="n"/>
      <c r="D118" s="30" t="n"/>
    </row>
    <row r="119">
      <c r="A119" s="30" t="n"/>
      <c r="B119" s="30" t="n"/>
      <c r="C119" s="30" t="n"/>
      <c r="D119" s="30" t="n"/>
    </row>
    <row r="120">
      <c r="A120" s="30" t="n"/>
      <c r="B120" s="30" t="n"/>
      <c r="C120" s="30" t="n"/>
      <c r="D120" s="30" t="n"/>
    </row>
    <row r="121">
      <c r="A121" s="30" t="n"/>
      <c r="B121" s="30" t="n"/>
      <c r="C121" s="30" t="n"/>
      <c r="D121" s="30" t="n"/>
    </row>
    <row r="122">
      <c r="A122" s="30" t="n"/>
      <c r="B122" s="30" t="n"/>
      <c r="C122" s="30" t="n"/>
      <c r="D122" s="30" t="n"/>
    </row>
    <row r="123">
      <c r="A123" s="30" t="n"/>
      <c r="B123" s="30" t="n"/>
      <c r="C123" s="30" t="n"/>
      <c r="D123" s="30" t="n"/>
    </row>
    <row r="124">
      <c r="A124" s="30" t="n"/>
      <c r="B124" s="30" t="n"/>
      <c r="C124" s="30" t="n"/>
      <c r="D124" s="30" t="n"/>
    </row>
    <row r="125">
      <c r="A125" s="30" t="n"/>
      <c r="B125" s="30" t="n"/>
      <c r="C125" s="30" t="n"/>
      <c r="D125" s="30" t="n"/>
    </row>
    <row r="126">
      <c r="A126" s="30" t="n"/>
      <c r="B126" s="30" t="n"/>
      <c r="C126" s="30" t="n"/>
      <c r="D126" s="30" t="n"/>
    </row>
    <row r="127">
      <c r="A127" s="30" t="n"/>
      <c r="B127" s="30" t="n"/>
      <c r="C127" s="30" t="n"/>
      <c r="D127" s="30" t="n"/>
    </row>
    <row r="128">
      <c r="A128" s="30" t="n"/>
      <c r="B128" s="30" t="n"/>
      <c r="C128" s="30" t="n"/>
      <c r="D128" s="30" t="n"/>
    </row>
    <row r="129">
      <c r="A129" s="30" t="n"/>
      <c r="B129" s="30" t="n"/>
      <c r="C129" s="30" t="n"/>
      <c r="D129" s="30" t="n"/>
    </row>
    <row r="130">
      <c r="A130" s="30" t="n"/>
      <c r="B130" s="30" t="n"/>
      <c r="C130" s="30" t="n"/>
      <c r="D130" s="30" t="n"/>
    </row>
    <row r="131">
      <c r="A131" s="30" t="n"/>
      <c r="B131" s="30" t="n"/>
      <c r="C131" s="30" t="n"/>
      <c r="D131" s="30" t="n"/>
    </row>
    <row r="132">
      <c r="A132" s="30" t="n"/>
      <c r="B132" s="30" t="n"/>
      <c r="C132" s="30" t="n"/>
      <c r="D132" s="30" t="n"/>
    </row>
    <row r="133">
      <c r="A133" s="30" t="n"/>
      <c r="B133" s="30" t="n"/>
      <c r="C133" s="30" t="n"/>
      <c r="D133" s="30" t="n"/>
    </row>
    <row r="134">
      <c r="A134" s="30" t="n"/>
      <c r="B134" s="30" t="n"/>
      <c r="C134" s="30" t="n"/>
      <c r="D134" s="30" t="n"/>
    </row>
    <row r="135">
      <c r="A135" s="30" t="n"/>
      <c r="B135" s="30" t="n"/>
      <c r="C135" s="30" t="n"/>
      <c r="D135" s="30" t="n"/>
    </row>
    <row r="136">
      <c r="A136" s="30" t="n"/>
      <c r="B136" s="30" t="n"/>
      <c r="C136" s="30" t="n"/>
      <c r="D136" s="30" t="n"/>
    </row>
    <row r="137">
      <c r="A137" s="30" t="n"/>
      <c r="B137" s="30" t="n"/>
      <c r="C137" s="30" t="n"/>
      <c r="D137" s="30" t="n"/>
    </row>
    <row r="138">
      <c r="A138" s="30" t="n"/>
      <c r="B138" s="30" t="n"/>
      <c r="C138" s="30" t="n"/>
      <c r="D138" s="30" t="n"/>
    </row>
    <row r="139">
      <c r="A139" s="30" t="n"/>
      <c r="B139" s="30" t="n"/>
      <c r="C139" s="30" t="n"/>
      <c r="D139" s="30" t="n"/>
    </row>
    <row r="140">
      <c r="A140" s="30" t="n"/>
      <c r="B140" s="30" t="n"/>
      <c r="C140" s="30" t="n"/>
      <c r="D140" s="30" t="n"/>
    </row>
    <row r="141">
      <c r="A141" s="30" t="n"/>
      <c r="B141" s="30" t="n"/>
      <c r="C141" s="30" t="n"/>
      <c r="D141" s="30" t="n"/>
    </row>
    <row r="142">
      <c r="A142" s="30" t="n"/>
      <c r="B142" s="30" t="n"/>
      <c r="C142" s="30" t="n"/>
      <c r="D142" s="30" t="n"/>
    </row>
    <row r="143">
      <c r="A143" s="30" t="n"/>
      <c r="B143" s="30" t="n"/>
      <c r="C143" s="30" t="n"/>
      <c r="D143" s="30" t="n"/>
    </row>
    <row r="144">
      <c r="A144" s="30" t="n"/>
      <c r="B144" s="30" t="n"/>
      <c r="C144" s="30" t="n"/>
      <c r="D144" s="30" t="n"/>
    </row>
    <row r="145">
      <c r="A145" s="30" t="n"/>
      <c r="B145" s="30" t="n"/>
      <c r="C145" s="30" t="n"/>
      <c r="D145" s="30" t="n"/>
    </row>
    <row r="146">
      <c r="A146" s="30" t="n"/>
      <c r="B146" s="30" t="n"/>
      <c r="C146" s="30" t="n"/>
      <c r="D146" s="30" t="n"/>
    </row>
    <row r="147">
      <c r="A147" s="30" t="n"/>
      <c r="B147" s="30" t="n"/>
      <c r="C147" s="30" t="n"/>
      <c r="D147" s="30" t="n"/>
    </row>
    <row r="148">
      <c r="A148" s="30" t="n"/>
      <c r="B148" s="30" t="n"/>
      <c r="C148" s="30" t="n"/>
      <c r="D148" s="30" t="n"/>
    </row>
    <row r="149">
      <c r="A149" s="30" t="n"/>
      <c r="B149" s="30" t="n"/>
      <c r="C149" s="30" t="n"/>
      <c r="D149" s="30" t="n"/>
    </row>
    <row r="150">
      <c r="A150" s="30" t="n"/>
      <c r="B150" s="30" t="n"/>
      <c r="C150" s="30" t="n"/>
      <c r="D150" s="30" t="n"/>
    </row>
    <row r="151">
      <c r="A151" s="30" t="n"/>
      <c r="B151" s="30" t="n"/>
      <c r="C151" s="30" t="n"/>
      <c r="D151" s="30" t="n"/>
    </row>
    <row r="152">
      <c r="A152" s="30" t="n"/>
      <c r="B152" s="30" t="n"/>
      <c r="C152" s="30" t="n"/>
      <c r="D152" s="30" t="n"/>
    </row>
    <row r="153">
      <c r="A153" s="30" t="n"/>
      <c r="B153" s="30" t="n"/>
      <c r="C153" s="30" t="n"/>
      <c r="D153" s="30" t="n"/>
    </row>
    <row r="154">
      <c r="A154" s="30" t="n"/>
      <c r="B154" s="30" t="n"/>
      <c r="C154" s="30" t="n"/>
      <c r="D154" s="30" t="n"/>
    </row>
    <row r="155">
      <c r="A155" s="30" t="n"/>
      <c r="B155" s="30" t="n"/>
      <c r="C155" s="30" t="n"/>
      <c r="D155" s="30" t="n"/>
    </row>
    <row r="156">
      <c r="A156" s="30" t="n"/>
      <c r="B156" s="30" t="n"/>
      <c r="C156" s="30" t="n"/>
      <c r="D156" s="30" t="n"/>
    </row>
    <row r="157">
      <c r="A157" s="30" t="n"/>
      <c r="B157" s="30" t="n"/>
      <c r="C157" s="30" t="n"/>
      <c r="D157" s="30" t="n"/>
    </row>
    <row r="158">
      <c r="A158" s="30" t="n"/>
      <c r="B158" s="30" t="n"/>
      <c r="C158" s="30" t="n"/>
      <c r="D158" s="30" t="n"/>
    </row>
    <row r="159">
      <c r="A159" s="30" t="n"/>
      <c r="B159" s="30" t="n"/>
      <c r="C159" s="30" t="n"/>
      <c r="D159" s="30" t="n"/>
    </row>
    <row r="160">
      <c r="A160" s="30" t="n"/>
      <c r="B160" s="30" t="n"/>
      <c r="C160" s="30" t="n"/>
      <c r="D160" s="30" t="n"/>
    </row>
    <row r="161">
      <c r="A161" s="30" t="n"/>
      <c r="B161" s="30" t="n"/>
      <c r="C161" s="30" t="n"/>
      <c r="D161" s="30" t="n"/>
    </row>
    <row r="162">
      <c r="A162" s="30" t="n"/>
      <c r="B162" s="30" t="n"/>
      <c r="C162" s="30" t="n"/>
      <c r="D162" s="30" t="n"/>
    </row>
    <row r="163">
      <c r="A163" s="30" t="n"/>
      <c r="B163" s="30" t="n"/>
      <c r="C163" s="30" t="n"/>
      <c r="D163" s="30" t="n"/>
    </row>
    <row r="164">
      <c r="A164" s="30" t="n"/>
      <c r="B164" s="30" t="n"/>
      <c r="C164" s="30" t="n"/>
      <c r="D164" s="30" t="n"/>
    </row>
    <row r="165">
      <c r="A165" s="30" t="n"/>
      <c r="B165" s="30" t="n"/>
      <c r="C165" s="30" t="n"/>
      <c r="D165" s="30" t="n"/>
    </row>
    <row r="166">
      <c r="A166" s="30" t="n"/>
      <c r="B166" s="30" t="n"/>
      <c r="C166" s="30" t="n"/>
      <c r="D166" s="30" t="n"/>
    </row>
    <row r="167">
      <c r="A167" s="30" t="n"/>
      <c r="B167" s="30" t="n"/>
      <c r="C167" s="30" t="n"/>
      <c r="D167" s="30" t="n"/>
    </row>
    <row r="168">
      <c r="A168" s="30" t="n"/>
      <c r="B168" s="30" t="n"/>
      <c r="C168" s="30" t="n"/>
      <c r="D168" s="30" t="n"/>
    </row>
    <row r="169">
      <c r="A169" s="30" t="n"/>
      <c r="B169" s="30" t="n"/>
      <c r="C169" s="30" t="n"/>
      <c r="D169" s="30" t="n"/>
    </row>
    <row r="170">
      <c r="A170" s="30" t="n"/>
      <c r="B170" s="30" t="n"/>
      <c r="C170" s="30" t="n"/>
      <c r="D170" s="30" t="n"/>
    </row>
    <row r="171">
      <c r="A171" s="30" t="n"/>
      <c r="B171" s="30" t="n"/>
      <c r="C171" s="30" t="n"/>
      <c r="D171" s="30" t="n"/>
    </row>
    <row r="172">
      <c r="A172" s="30" t="n"/>
      <c r="B172" s="30" t="n"/>
      <c r="C172" s="30" t="n"/>
      <c r="D172" s="30" t="n"/>
    </row>
    <row r="173">
      <c r="A173" s="30" t="n"/>
      <c r="B173" s="30" t="n"/>
      <c r="C173" s="30" t="n"/>
      <c r="D173" s="30" t="n"/>
    </row>
    <row r="174">
      <c r="A174" s="30" t="n"/>
      <c r="B174" s="30" t="n"/>
      <c r="C174" s="30" t="n"/>
      <c r="D174" s="30" t="n"/>
    </row>
    <row r="175">
      <c r="A175" s="30" t="n"/>
      <c r="B175" s="30" t="n"/>
      <c r="C175" s="30" t="n"/>
      <c r="D175" s="30" t="n"/>
    </row>
    <row r="176">
      <c r="A176" s="30" t="n"/>
      <c r="B176" s="30" t="n"/>
      <c r="C176" s="30" t="n"/>
      <c r="D176" s="30" t="n"/>
    </row>
    <row r="177">
      <c r="A177" s="30" t="n"/>
      <c r="B177" s="30" t="n"/>
      <c r="C177" s="30" t="n"/>
      <c r="D177" s="30" t="n"/>
    </row>
    <row r="178">
      <c r="A178" s="30" t="n"/>
      <c r="B178" s="30" t="n"/>
      <c r="C178" s="30" t="n"/>
      <c r="D178" s="30" t="n"/>
    </row>
    <row r="179">
      <c r="A179" s="30" t="n"/>
      <c r="B179" s="30" t="n"/>
      <c r="C179" s="30" t="n"/>
      <c r="D179" s="30" t="n"/>
    </row>
    <row r="180">
      <c r="A180" s="30" t="n"/>
      <c r="B180" s="30" t="n"/>
      <c r="C180" s="30" t="n"/>
      <c r="D180" s="30" t="n"/>
    </row>
    <row r="181">
      <c r="A181" s="30" t="n"/>
      <c r="B181" s="30" t="n"/>
      <c r="C181" s="30" t="n"/>
      <c r="D181" s="30" t="n"/>
    </row>
    <row r="182">
      <c r="A182" s="30" t="n"/>
      <c r="B182" s="30" t="n"/>
      <c r="C182" s="30" t="n"/>
      <c r="D182" s="30" t="n"/>
    </row>
    <row r="183">
      <c r="A183" s="30" t="n"/>
      <c r="B183" s="30" t="n"/>
      <c r="C183" s="30" t="n"/>
      <c r="D183" s="30" t="n"/>
    </row>
    <row r="184">
      <c r="A184" s="30" t="n"/>
      <c r="B184" s="30" t="n"/>
      <c r="C184" s="30" t="n"/>
      <c r="D184" s="30" t="n"/>
    </row>
    <row r="185">
      <c r="A185" s="30" t="n"/>
      <c r="B185" s="30" t="n"/>
      <c r="C185" s="30" t="n"/>
      <c r="D185" s="30" t="n"/>
    </row>
    <row r="186">
      <c r="A186" s="30" t="n"/>
      <c r="B186" s="30" t="n"/>
      <c r="C186" s="30" t="n"/>
      <c r="D186" s="30" t="n"/>
    </row>
    <row r="187">
      <c r="A187" s="30" t="n"/>
      <c r="B187" s="30" t="n"/>
      <c r="C187" s="30" t="n"/>
      <c r="D187" s="30" t="n"/>
    </row>
    <row r="188">
      <c r="A188" s="30" t="n"/>
      <c r="B188" s="30" t="n"/>
      <c r="C188" s="30" t="n"/>
      <c r="D188" s="30" t="n"/>
    </row>
    <row r="189">
      <c r="A189" s="30" t="n"/>
      <c r="B189" s="30" t="n"/>
      <c r="C189" s="30" t="n"/>
      <c r="D189" s="30" t="n"/>
    </row>
    <row r="190">
      <c r="A190" s="30" t="n"/>
      <c r="B190" s="30" t="n"/>
      <c r="C190" s="30" t="n"/>
      <c r="D190" s="30" t="n"/>
    </row>
    <row r="191">
      <c r="A191" s="30" t="n"/>
      <c r="B191" s="30" t="n"/>
      <c r="C191" s="30" t="n"/>
      <c r="D191" s="30" t="n"/>
    </row>
    <row r="192">
      <c r="A192" s="30" t="n"/>
      <c r="B192" s="30" t="n"/>
      <c r="C192" s="30" t="n"/>
      <c r="D192" s="30" t="n"/>
    </row>
    <row r="193">
      <c r="A193" s="30" t="n"/>
      <c r="B193" s="30" t="n"/>
      <c r="C193" s="30" t="n"/>
      <c r="D193" s="30" t="n"/>
    </row>
    <row r="194">
      <c r="A194" s="30" t="n"/>
      <c r="B194" s="30" t="n"/>
      <c r="C194" s="30" t="n"/>
      <c r="D194" s="30" t="n"/>
    </row>
    <row r="195">
      <c r="A195" s="30" t="n"/>
      <c r="B195" s="30" t="n"/>
      <c r="C195" s="30" t="n"/>
      <c r="D195" s="30" t="n"/>
    </row>
    <row r="196">
      <c r="A196" s="30" t="n"/>
      <c r="B196" s="30" t="n"/>
      <c r="C196" s="30" t="n"/>
      <c r="D196" s="30" t="n"/>
    </row>
    <row r="197">
      <c r="A197" s="30" t="n"/>
      <c r="B197" s="30" t="n"/>
      <c r="C197" s="30" t="n"/>
      <c r="D197" s="30" t="n"/>
    </row>
    <row r="198">
      <c r="A198" s="30" t="n"/>
      <c r="B198" s="30" t="n"/>
      <c r="C198" s="30" t="n"/>
      <c r="D198" s="30" t="n"/>
    </row>
    <row r="199">
      <c r="A199" s="30" t="n"/>
      <c r="B199" s="30" t="n"/>
      <c r="C199" s="30" t="n"/>
      <c r="D199" s="30" t="n"/>
    </row>
    <row r="200">
      <c r="A200" s="30" t="n"/>
      <c r="B200" s="30" t="n"/>
      <c r="C200" s="30" t="n"/>
      <c r="D200" s="30" t="n"/>
    </row>
    <row r="201">
      <c r="A201" s="30" t="n"/>
      <c r="B201" s="30" t="n"/>
      <c r="C201" s="30" t="n"/>
      <c r="D201" s="30" t="n"/>
    </row>
    <row r="202">
      <c r="A202" s="30" t="n"/>
      <c r="B202" s="30" t="n"/>
      <c r="C202" s="30" t="n"/>
      <c r="D202" s="30" t="n"/>
    </row>
    <row r="203">
      <c r="A203" s="30" t="n"/>
      <c r="B203" s="30" t="n"/>
      <c r="C203" s="30" t="n"/>
      <c r="D203" s="30" t="n"/>
    </row>
    <row r="204">
      <c r="A204" s="30" t="n"/>
      <c r="B204" s="30" t="n"/>
      <c r="C204" s="30" t="n"/>
      <c r="D204" s="30" t="n"/>
    </row>
    <row r="205">
      <c r="A205" s="30" t="n"/>
      <c r="B205" s="30" t="n"/>
      <c r="C205" s="30" t="n"/>
      <c r="D205" s="30" t="n"/>
    </row>
    <row r="206">
      <c r="A206" s="30" t="n"/>
      <c r="B206" s="30" t="n"/>
      <c r="C206" s="30" t="n"/>
      <c r="D206" s="30" t="n"/>
    </row>
    <row r="207">
      <c r="A207" s="30" t="n"/>
      <c r="B207" s="30" t="n"/>
      <c r="C207" s="30" t="n"/>
      <c r="D207" s="30" t="n"/>
    </row>
    <row r="208">
      <c r="A208" s="30" t="n"/>
      <c r="B208" s="30" t="n"/>
      <c r="C208" s="30" t="n"/>
      <c r="D208" s="30" t="n"/>
    </row>
    <row r="209">
      <c r="A209" s="30" t="n"/>
      <c r="B209" s="30" t="n"/>
      <c r="C209" s="30" t="n"/>
      <c r="D209" s="30" t="n"/>
    </row>
    <row r="210">
      <c r="A210" s="30" t="n"/>
      <c r="B210" s="30" t="n"/>
      <c r="C210" s="30" t="n"/>
      <c r="D210" s="30" t="n"/>
    </row>
    <row r="211">
      <c r="A211" s="30" t="n"/>
      <c r="B211" s="30" t="n"/>
      <c r="C211" s="30" t="n"/>
      <c r="D211" s="30" t="n"/>
    </row>
    <row r="212">
      <c r="A212" s="30" t="n"/>
      <c r="B212" s="30" t="n"/>
      <c r="C212" s="30" t="n"/>
      <c r="D212" s="30" t="n"/>
    </row>
    <row r="213">
      <c r="A213" s="30" t="n"/>
      <c r="B213" s="30" t="n"/>
      <c r="C213" s="30" t="n"/>
      <c r="D213" s="30" t="n"/>
    </row>
    <row r="214">
      <c r="A214" s="30" t="n"/>
      <c r="B214" s="30" t="n"/>
      <c r="C214" s="30" t="n"/>
      <c r="D214" s="30" t="n"/>
    </row>
    <row r="215">
      <c r="A215" s="30" t="n"/>
      <c r="B215" s="30" t="n"/>
      <c r="C215" s="30" t="n"/>
      <c r="D215" s="30" t="n"/>
    </row>
    <row r="216">
      <c r="A216" s="30" t="n"/>
      <c r="B216" s="30" t="n"/>
      <c r="C216" s="30" t="n"/>
      <c r="D216" s="30" t="n"/>
    </row>
    <row r="217">
      <c r="A217" s="30" t="n"/>
      <c r="B217" s="30" t="n"/>
      <c r="C217" s="30" t="n"/>
      <c r="D217" s="30" t="n"/>
    </row>
    <row r="218">
      <c r="A218" s="30" t="n"/>
      <c r="B218" s="30" t="n"/>
      <c r="C218" s="30" t="n"/>
      <c r="D218" s="30" t="n"/>
    </row>
    <row r="219">
      <c r="A219" s="30" t="n"/>
      <c r="B219" s="30" t="n"/>
      <c r="C219" s="30" t="n"/>
      <c r="D219" s="30" t="n"/>
    </row>
    <row r="220">
      <c r="A220" s="30" t="n"/>
      <c r="B220" s="30" t="n"/>
      <c r="C220" s="30" t="n"/>
      <c r="D220" s="30" t="n"/>
    </row>
    <row r="221">
      <c r="A221" s="30" t="n"/>
      <c r="B221" s="30" t="n"/>
      <c r="C221" s="30" t="n"/>
      <c r="D221" s="30" t="n"/>
    </row>
    <row r="222">
      <c r="A222" s="30" t="n"/>
      <c r="B222" s="30" t="n"/>
      <c r="C222" s="30" t="n"/>
      <c r="D222" s="30" t="n"/>
    </row>
    <row r="223">
      <c r="A223" s="30" t="n"/>
      <c r="B223" s="30" t="n"/>
      <c r="C223" s="30" t="n"/>
      <c r="D223" s="30" t="n"/>
    </row>
    <row r="224">
      <c r="A224" s="30" t="n"/>
      <c r="B224" s="30" t="n"/>
      <c r="C224" s="30" t="n"/>
      <c r="D224" s="30" t="n"/>
    </row>
    <row r="225">
      <c r="A225" s="30" t="n"/>
      <c r="B225" s="30" t="n"/>
      <c r="C225" s="30" t="n"/>
      <c r="D225" s="30" t="n"/>
    </row>
    <row r="226">
      <c r="A226" s="30" t="n"/>
      <c r="B226" s="30" t="n"/>
      <c r="C226" s="30" t="n"/>
      <c r="D226" s="30" t="n"/>
    </row>
    <row r="227">
      <c r="A227" s="30" t="n"/>
      <c r="B227" s="30" t="n"/>
      <c r="C227" s="30" t="n"/>
      <c r="D227" s="30" t="n"/>
    </row>
    <row r="228">
      <c r="A228" s="30" t="n"/>
      <c r="B228" s="30" t="n"/>
      <c r="C228" s="30" t="n"/>
      <c r="D228" s="30" t="n"/>
    </row>
    <row r="229">
      <c r="A229" s="30" t="n"/>
      <c r="B229" s="30" t="n"/>
      <c r="C229" s="30" t="n"/>
      <c r="D229" s="30" t="n"/>
    </row>
    <row r="230">
      <c r="A230" s="30" t="n"/>
      <c r="B230" s="30" t="n"/>
      <c r="C230" s="30" t="n"/>
      <c r="D230" s="30" t="n"/>
    </row>
    <row r="231">
      <c r="A231" s="30" t="n"/>
      <c r="B231" s="30" t="n"/>
      <c r="C231" s="30" t="n"/>
      <c r="D231" s="30" t="n"/>
    </row>
    <row r="232">
      <c r="A232" s="30" t="n"/>
      <c r="B232" s="30" t="n"/>
      <c r="C232" s="30" t="n"/>
      <c r="D232" s="30" t="n"/>
    </row>
    <row r="233">
      <c r="A233" s="30" t="n"/>
      <c r="B233" s="30" t="n"/>
      <c r="C233" s="30" t="n"/>
      <c r="D233" s="30" t="n"/>
    </row>
    <row r="234">
      <c r="A234" s="30" t="n"/>
      <c r="B234" s="30" t="n"/>
      <c r="C234" s="30" t="n"/>
      <c r="D234" s="30" t="n"/>
    </row>
    <row r="235">
      <c r="A235" s="30" t="n"/>
      <c r="B235" s="30" t="n"/>
      <c r="C235" s="30" t="n"/>
      <c r="D235" s="30" t="n"/>
    </row>
    <row r="236">
      <c r="A236" s="30" t="n"/>
      <c r="B236" s="30" t="n"/>
      <c r="C236" s="30" t="n"/>
      <c r="D236" s="30" t="n"/>
    </row>
    <row r="237">
      <c r="A237" s="30" t="n"/>
      <c r="B237" s="30" t="n"/>
      <c r="C237" s="30" t="n"/>
      <c r="D237" s="30" t="n"/>
    </row>
    <row r="238">
      <c r="A238" s="30" t="n"/>
      <c r="B238" s="30" t="n"/>
      <c r="C238" s="30" t="n"/>
      <c r="D238" s="30" t="n"/>
    </row>
    <row r="239">
      <c r="A239" s="30" t="n"/>
      <c r="B239" s="30" t="n"/>
      <c r="C239" s="30" t="n"/>
      <c r="D239" s="30" t="n"/>
    </row>
    <row r="240">
      <c r="A240" s="30" t="n"/>
      <c r="B240" s="30" t="n"/>
      <c r="C240" s="30" t="n"/>
      <c r="D240" s="30" t="n"/>
    </row>
    <row r="241">
      <c r="A241" s="30" t="n"/>
      <c r="B241" s="30" t="n"/>
      <c r="C241" s="30" t="n"/>
      <c r="D241" s="30" t="n"/>
    </row>
    <row r="242">
      <c r="A242" s="30" t="n"/>
      <c r="B242" s="30" t="n"/>
      <c r="C242" s="30" t="n"/>
      <c r="D242" s="30" t="n"/>
    </row>
    <row r="243">
      <c r="A243" s="30" t="n"/>
      <c r="B243" s="30" t="n"/>
      <c r="C243" s="30" t="n"/>
      <c r="D243" s="30" t="n"/>
    </row>
    <row r="244">
      <c r="A244" s="30" t="n"/>
      <c r="B244" s="30" t="n"/>
      <c r="C244" s="30" t="n"/>
      <c r="D244" s="30" t="n"/>
    </row>
    <row r="245">
      <c r="A245" s="30" t="n"/>
      <c r="B245" s="30" t="n"/>
      <c r="C245" s="30" t="n"/>
      <c r="D245" s="30" t="n"/>
    </row>
    <row r="246">
      <c r="A246" s="30" t="n"/>
      <c r="B246" s="30" t="n"/>
      <c r="C246" s="30" t="n"/>
      <c r="D246" s="30" t="n"/>
    </row>
    <row r="247">
      <c r="A247" s="30" t="n"/>
      <c r="B247" s="30" t="n"/>
      <c r="C247" s="30" t="n"/>
      <c r="D247" s="30" t="n"/>
    </row>
    <row r="248">
      <c r="A248" s="30" t="n"/>
      <c r="B248" s="30" t="n"/>
      <c r="C248" s="30" t="n"/>
      <c r="D248" s="30" t="n"/>
    </row>
    <row r="249">
      <c r="A249" s="30" t="n"/>
      <c r="B249" s="30" t="n"/>
      <c r="C249" s="30" t="n"/>
      <c r="D249" s="30" t="n"/>
    </row>
    <row r="250">
      <c r="A250" s="30" t="n"/>
      <c r="B250" s="30" t="n"/>
      <c r="C250" s="30" t="n"/>
      <c r="D250" s="30" t="n"/>
    </row>
    <row r="251">
      <c r="A251" s="30" t="n"/>
      <c r="B251" s="30" t="n"/>
      <c r="C251" s="30" t="n"/>
      <c r="D251" s="30" t="n"/>
    </row>
    <row r="252">
      <c r="A252" s="30" t="n"/>
      <c r="B252" s="30" t="n"/>
      <c r="C252" s="30" t="n"/>
      <c r="D252" s="30" t="n"/>
    </row>
    <row r="253">
      <c r="A253" s="30" t="n"/>
      <c r="B253" s="30" t="n"/>
      <c r="C253" s="30" t="n"/>
      <c r="D253" s="30" t="n"/>
    </row>
    <row r="254">
      <c r="A254" s="30" t="n"/>
      <c r="B254" s="30" t="n"/>
      <c r="C254" s="30" t="n"/>
      <c r="D254" s="30" t="n"/>
    </row>
    <row r="255">
      <c r="A255" s="30" t="n"/>
      <c r="B255" s="30" t="n"/>
      <c r="C255" s="30" t="n"/>
      <c r="D255" s="30" t="n"/>
    </row>
    <row r="256">
      <c r="A256" s="30" t="n"/>
      <c r="B256" s="30" t="n"/>
      <c r="C256" s="30" t="n"/>
      <c r="D256" s="30" t="n"/>
    </row>
    <row r="257">
      <c r="A257" s="30" t="n"/>
      <c r="B257" s="30" t="n"/>
      <c r="C257" s="30" t="n"/>
      <c r="D257" s="30" t="n"/>
    </row>
    <row r="258">
      <c r="A258" s="30" t="n"/>
      <c r="B258" s="30" t="n"/>
      <c r="C258" s="30" t="n"/>
      <c r="D258" s="30" t="n"/>
    </row>
    <row r="259">
      <c r="A259" s="30" t="n"/>
      <c r="B259" s="30" t="n"/>
      <c r="C259" s="30" t="n"/>
      <c r="D259" s="30" t="n"/>
    </row>
    <row r="260">
      <c r="A260" s="30" t="n"/>
      <c r="B260" s="30" t="n"/>
      <c r="C260" s="30" t="n"/>
      <c r="D260" s="30" t="n"/>
    </row>
    <row r="261">
      <c r="A261" s="30" t="n"/>
      <c r="B261" s="30" t="n"/>
      <c r="C261" s="30" t="n"/>
      <c r="D261" s="30" t="n"/>
    </row>
    <row r="262">
      <c r="A262" s="30" t="n"/>
      <c r="B262" s="30" t="n"/>
      <c r="C262" s="30" t="n"/>
      <c r="D262" s="30" t="n"/>
    </row>
    <row r="263">
      <c r="A263" s="30" t="n"/>
      <c r="B263" s="30" t="n"/>
      <c r="C263" s="30" t="n"/>
      <c r="D263" s="30" t="n"/>
    </row>
    <row r="264">
      <c r="A264" s="30" t="n"/>
      <c r="B264" s="30" t="n"/>
      <c r="C264" s="30" t="n"/>
      <c r="D264" s="30" t="n"/>
    </row>
    <row r="265">
      <c r="A265" s="30" t="n"/>
      <c r="B265" s="30" t="n"/>
      <c r="C265" s="30" t="n"/>
      <c r="D265" s="30" t="n"/>
    </row>
    <row r="266">
      <c r="A266" s="30" t="n"/>
      <c r="B266" s="30" t="n"/>
      <c r="C266" s="30" t="n"/>
      <c r="D266" s="30" t="n"/>
    </row>
    <row r="267">
      <c r="A267" s="30" t="n"/>
      <c r="B267" s="30" t="n"/>
      <c r="C267" s="30" t="n"/>
      <c r="D267" s="30" t="n"/>
    </row>
    <row r="268">
      <c r="A268" s="30" t="n"/>
      <c r="B268" s="30" t="n"/>
      <c r="C268" s="30" t="n"/>
      <c r="D268" s="30" t="n"/>
    </row>
    <row r="269">
      <c r="A269" s="30" t="n"/>
      <c r="B269" s="30" t="n"/>
      <c r="C269" s="30" t="n"/>
      <c r="D269" s="30" t="n"/>
    </row>
    <row r="270">
      <c r="A270" s="30" t="n"/>
      <c r="B270" s="30" t="n"/>
      <c r="C270" s="30" t="n"/>
      <c r="D270" s="30" t="n"/>
    </row>
    <row r="271">
      <c r="A271" s="30" t="n"/>
      <c r="B271" s="30" t="n"/>
      <c r="C271" s="30" t="n"/>
      <c r="D271" s="30" t="n"/>
    </row>
    <row r="272">
      <c r="A272" s="30" t="n"/>
      <c r="B272" s="30" t="n"/>
      <c r="C272" s="30" t="n"/>
      <c r="D272" s="30" t="n"/>
    </row>
    <row r="273">
      <c r="A273" s="30" t="n"/>
      <c r="B273" s="30" t="n"/>
      <c r="C273" s="30" t="n"/>
      <c r="D273" s="30" t="n"/>
    </row>
    <row r="274">
      <c r="A274" s="30" t="n"/>
      <c r="B274" s="30" t="n"/>
      <c r="C274" s="30" t="n"/>
      <c r="D274" s="30" t="n"/>
    </row>
    <row r="275">
      <c r="A275" s="30" t="n"/>
      <c r="B275" s="30" t="n"/>
      <c r="C275" s="30" t="n"/>
      <c r="D275" s="30" t="n"/>
    </row>
    <row r="276">
      <c r="A276" s="30" t="n"/>
      <c r="B276" s="30" t="n"/>
      <c r="C276" s="30" t="n"/>
      <c r="D276" s="30" t="n"/>
    </row>
    <row r="277">
      <c r="A277" s="30" t="n"/>
      <c r="B277" s="30" t="n"/>
      <c r="C277" s="30" t="n"/>
      <c r="D277" s="30" t="n"/>
    </row>
    <row r="278">
      <c r="A278" s="30" t="n"/>
      <c r="B278" s="30" t="n"/>
      <c r="C278" s="30" t="n"/>
      <c r="D278" s="30" t="n"/>
    </row>
    <row r="279">
      <c r="A279" s="30" t="n"/>
      <c r="B279" s="30" t="n"/>
      <c r="C279" s="30" t="n"/>
      <c r="D279" s="30" t="n"/>
    </row>
    <row r="280">
      <c r="A280" s="30" t="n"/>
      <c r="B280" s="30" t="n"/>
      <c r="C280" s="30" t="n"/>
      <c r="D280" s="30" t="n"/>
    </row>
    <row r="281">
      <c r="A281" s="30" t="n"/>
      <c r="B281" s="30" t="n"/>
      <c r="C281" s="30" t="n"/>
      <c r="D281" s="30" t="n"/>
    </row>
    <row r="282">
      <c r="A282" s="30" t="n"/>
      <c r="B282" s="30" t="n"/>
      <c r="C282" s="30" t="n"/>
      <c r="D282" s="30" t="n"/>
    </row>
    <row r="283">
      <c r="A283" s="30" t="n"/>
      <c r="B283" s="30" t="n"/>
      <c r="C283" s="30" t="n"/>
      <c r="D283" s="30" t="n"/>
    </row>
    <row r="284">
      <c r="A284" s="30" t="n"/>
      <c r="B284" s="30" t="n"/>
      <c r="C284" s="30" t="n"/>
      <c r="D284" s="30" t="n"/>
    </row>
    <row r="285">
      <c r="A285" s="30" t="n"/>
      <c r="B285" s="30" t="n"/>
      <c r="C285" s="30" t="n"/>
      <c r="D285" s="30" t="n"/>
    </row>
    <row r="286">
      <c r="A286" s="30" t="n"/>
      <c r="B286" s="30" t="n"/>
      <c r="C286" s="30" t="n"/>
      <c r="D286" s="30" t="n"/>
    </row>
    <row r="287">
      <c r="A287" s="30" t="n"/>
      <c r="B287" s="30" t="n"/>
      <c r="C287" s="30" t="n"/>
      <c r="D287" s="30" t="n"/>
    </row>
    <row r="288">
      <c r="A288" s="30" t="n"/>
      <c r="B288" s="30" t="n"/>
      <c r="C288" s="30" t="n"/>
      <c r="D288" s="30" t="n"/>
    </row>
    <row r="289">
      <c r="A289" s="30" t="n"/>
      <c r="B289" s="30" t="n"/>
      <c r="C289" s="30" t="n"/>
      <c r="D289" s="30" t="n"/>
    </row>
    <row r="290">
      <c r="A290" s="30" t="n"/>
      <c r="B290" s="30" t="n"/>
      <c r="C290" s="30" t="n"/>
      <c r="D290" s="30" t="n"/>
    </row>
    <row r="291">
      <c r="A291" s="30" t="n"/>
      <c r="B291" s="30" t="n"/>
      <c r="C291" s="30" t="n"/>
      <c r="D291" s="30" t="n"/>
    </row>
    <row r="292">
      <c r="A292" s="30" t="n"/>
      <c r="B292" s="30" t="n"/>
      <c r="C292" s="30" t="n"/>
      <c r="D292" s="30" t="n"/>
    </row>
    <row r="293">
      <c r="A293" s="30" t="n"/>
      <c r="B293" s="30" t="n"/>
      <c r="C293" s="30" t="n"/>
      <c r="D293" s="30" t="n"/>
    </row>
    <row r="294">
      <c r="A294" s="30" t="n"/>
      <c r="B294" s="30" t="n"/>
      <c r="C294" s="30" t="n"/>
      <c r="D294" s="30" t="n"/>
    </row>
    <row r="295">
      <c r="A295" s="30" t="n"/>
      <c r="B295" s="30" t="n"/>
      <c r="C295" s="30" t="n"/>
      <c r="D295" s="30" t="n"/>
    </row>
    <row r="296">
      <c r="A296" s="30" t="n"/>
      <c r="B296" s="30" t="n"/>
      <c r="C296" s="30" t="n"/>
      <c r="D296" s="30" t="n"/>
    </row>
    <row r="297">
      <c r="A297" s="30" t="n"/>
      <c r="B297" s="30" t="n"/>
      <c r="C297" s="30" t="n"/>
      <c r="D297" s="30" t="n"/>
    </row>
    <row r="298">
      <c r="A298" s="30" t="n"/>
      <c r="B298" s="30" t="n"/>
      <c r="C298" s="30" t="n"/>
      <c r="D298" s="30" t="n"/>
    </row>
    <row r="299">
      <c r="A299" s="30" t="n"/>
      <c r="B299" s="30" t="n"/>
      <c r="C299" s="30" t="n"/>
      <c r="D299" s="30" t="n"/>
    </row>
    <row r="300">
      <c r="A300" s="30" t="n"/>
      <c r="B300" s="30" t="n"/>
      <c r="C300" s="30" t="n"/>
      <c r="D300" s="30" t="n"/>
    </row>
    <row r="301">
      <c r="A301" s="30" t="n"/>
      <c r="B301" s="30" t="n"/>
      <c r="C301" s="30" t="n"/>
      <c r="D301" s="30" t="n"/>
    </row>
    <row r="302">
      <c r="A302" s="30" t="n"/>
      <c r="B302" s="30" t="n"/>
      <c r="C302" s="30" t="n"/>
      <c r="D302" s="30" t="n"/>
    </row>
    <row r="303">
      <c r="A303" s="30" t="n"/>
      <c r="B303" s="30" t="n"/>
      <c r="C303" s="30" t="n"/>
      <c r="D303" s="30" t="n"/>
    </row>
    <row r="304">
      <c r="A304" s="30" t="n"/>
      <c r="B304" s="30" t="n"/>
      <c r="C304" s="30" t="n"/>
      <c r="D304" s="30" t="n"/>
    </row>
    <row r="305">
      <c r="A305" s="30" t="n"/>
      <c r="B305" s="30" t="n"/>
      <c r="C305" s="30" t="n"/>
      <c r="D305" s="30" t="n"/>
    </row>
    <row r="306">
      <c r="A306" s="30" t="n"/>
      <c r="B306" s="30" t="n"/>
      <c r="C306" s="30" t="n"/>
      <c r="D306" s="30" t="n"/>
    </row>
    <row r="307">
      <c r="A307" s="30" t="n"/>
      <c r="B307" s="30" t="n"/>
      <c r="C307" s="30" t="n"/>
      <c r="D307" s="30" t="n"/>
    </row>
    <row r="308">
      <c r="A308" s="30" t="n"/>
      <c r="B308" s="30" t="n"/>
      <c r="C308" s="30" t="n"/>
      <c r="D308" s="30" t="n"/>
    </row>
    <row r="309">
      <c r="A309" s="30" t="n"/>
      <c r="B309" s="30" t="n"/>
      <c r="C309" s="30" t="n"/>
      <c r="D309" s="30" t="n"/>
    </row>
    <row r="310">
      <c r="A310" s="30" t="n"/>
      <c r="B310" s="30" t="n"/>
      <c r="C310" s="30" t="n"/>
      <c r="D310" s="30" t="n"/>
    </row>
    <row r="311">
      <c r="A311" s="30" t="n"/>
      <c r="B311" s="30" t="n"/>
      <c r="C311" s="30" t="n"/>
      <c r="D311" s="30" t="n"/>
    </row>
    <row r="312">
      <c r="A312" s="30" t="n"/>
      <c r="B312" s="30" t="n"/>
      <c r="C312" s="30" t="n"/>
      <c r="D312" s="30" t="n"/>
    </row>
    <row r="313">
      <c r="A313" s="30" t="n"/>
      <c r="B313" s="30" t="n"/>
      <c r="C313" s="30" t="n"/>
      <c r="D313" s="30" t="n"/>
    </row>
    <row r="314">
      <c r="A314" s="30" t="n"/>
      <c r="B314" s="30" t="n"/>
      <c r="C314" s="30" t="n"/>
      <c r="D314" s="30" t="n"/>
    </row>
    <row r="315">
      <c r="A315" s="30" t="n"/>
      <c r="B315" s="30" t="n"/>
      <c r="C315" s="30" t="n"/>
      <c r="D315" s="30" t="n"/>
    </row>
    <row r="316">
      <c r="A316" s="30" t="n"/>
      <c r="B316" s="30" t="n"/>
      <c r="C316" s="30" t="n"/>
      <c r="D316" s="30" t="n"/>
    </row>
    <row r="317">
      <c r="A317" s="30" t="n"/>
      <c r="B317" s="30" t="n"/>
      <c r="C317" s="30" t="n"/>
      <c r="D317" s="30" t="n"/>
    </row>
    <row r="318">
      <c r="A318" s="30" t="n"/>
      <c r="B318" s="30" t="n"/>
      <c r="C318" s="30" t="n"/>
      <c r="D318" s="30" t="n"/>
    </row>
    <row r="319">
      <c r="A319" s="30" t="n"/>
      <c r="B319" s="30" t="n"/>
      <c r="C319" s="30" t="n"/>
      <c r="D319" s="30" t="n"/>
    </row>
    <row r="320">
      <c r="A320" s="30" t="n"/>
      <c r="B320" s="30" t="n"/>
      <c r="C320" s="30" t="n"/>
      <c r="D320" s="30" t="n"/>
    </row>
    <row r="321">
      <c r="A321" s="30" t="n"/>
      <c r="B321" s="30" t="n"/>
      <c r="C321" s="30" t="n"/>
      <c r="D321" s="30" t="n"/>
    </row>
    <row r="322">
      <c r="A322" s="30" t="n"/>
      <c r="B322" s="30" t="n"/>
      <c r="C322" s="30" t="n"/>
      <c r="D322" s="30" t="n"/>
    </row>
    <row r="323">
      <c r="A323" s="30" t="n"/>
      <c r="B323" s="30" t="n"/>
      <c r="C323" s="30" t="n"/>
      <c r="D323" s="30" t="n"/>
    </row>
    <row r="324">
      <c r="A324" s="30" t="n"/>
      <c r="B324" s="30" t="n"/>
      <c r="C324" s="30" t="n"/>
      <c r="D324" s="30" t="n"/>
    </row>
    <row r="325">
      <c r="A325" s="30" t="n"/>
      <c r="B325" s="30" t="n"/>
      <c r="C325" s="30" t="n"/>
      <c r="D325" s="30" t="n"/>
    </row>
    <row r="326">
      <c r="A326" s="30" t="n"/>
      <c r="B326" s="30" t="n"/>
      <c r="C326" s="30" t="n"/>
      <c r="D326" s="30" t="n"/>
    </row>
    <row r="327">
      <c r="A327" s="30" t="n"/>
      <c r="B327" s="30" t="n"/>
      <c r="C327" s="30" t="n"/>
      <c r="D327" s="30" t="n"/>
    </row>
    <row r="328">
      <c r="A328" s="30" t="n"/>
      <c r="B328" s="30" t="n"/>
      <c r="C328" s="30" t="n"/>
      <c r="D328" s="30" t="n"/>
    </row>
    <row r="329">
      <c r="A329" s="30" t="n"/>
      <c r="B329" s="30" t="n"/>
      <c r="C329" s="30" t="n"/>
      <c r="D329" s="30" t="n"/>
    </row>
    <row r="330">
      <c r="A330" s="30" t="n"/>
      <c r="B330" s="30" t="n"/>
      <c r="C330" s="30" t="n"/>
      <c r="D330" s="30" t="n"/>
    </row>
    <row r="331">
      <c r="A331" s="30" t="n"/>
      <c r="B331" s="30" t="n"/>
      <c r="C331" s="30" t="n"/>
      <c r="D331" s="30" t="n"/>
    </row>
    <row r="332">
      <c r="A332" s="30" t="n"/>
      <c r="B332" s="30" t="n"/>
      <c r="C332" s="30" t="n"/>
      <c r="D332" s="30" t="n"/>
    </row>
    <row r="333">
      <c r="A333" s="30" t="n"/>
      <c r="B333" s="30" t="n"/>
      <c r="C333" s="30" t="n"/>
      <c r="D333" s="30" t="n"/>
    </row>
    <row r="334">
      <c r="A334" s="30" t="n"/>
      <c r="B334" s="30" t="n"/>
      <c r="C334" s="30" t="n"/>
      <c r="D334" s="30" t="n"/>
    </row>
    <row r="335">
      <c r="A335" s="30" t="n"/>
      <c r="B335" s="30" t="n"/>
      <c r="C335" s="30" t="n"/>
      <c r="D335" s="30" t="n"/>
    </row>
    <row r="336">
      <c r="A336" s="30" t="n"/>
      <c r="B336" s="30" t="n"/>
      <c r="C336" s="30" t="n"/>
      <c r="D336" s="30" t="n"/>
    </row>
    <row r="337">
      <c r="A337" s="30" t="n"/>
      <c r="B337" s="30" t="n"/>
      <c r="C337" s="30" t="n"/>
      <c r="D337" s="30" t="n"/>
    </row>
    <row r="338">
      <c r="A338" s="30" t="n"/>
      <c r="B338" s="30" t="n"/>
      <c r="C338" s="30" t="n"/>
      <c r="D338" s="30" t="n"/>
    </row>
    <row r="339">
      <c r="A339" s="30" t="n"/>
      <c r="B339" s="30" t="n"/>
      <c r="C339" s="30" t="n"/>
      <c r="D339" s="30" t="n"/>
    </row>
    <row r="340">
      <c r="A340" s="30" t="n"/>
      <c r="B340" s="30" t="n"/>
      <c r="C340" s="30" t="n"/>
      <c r="D340" s="30" t="n"/>
    </row>
    <row r="341">
      <c r="A341" s="30" t="n"/>
      <c r="B341" s="30" t="n"/>
      <c r="C341" s="30" t="n"/>
      <c r="D341" s="30" t="n"/>
    </row>
    <row r="342">
      <c r="A342" s="30" t="n"/>
      <c r="B342" s="30" t="n"/>
      <c r="C342" s="30" t="n"/>
      <c r="D342" s="30" t="n"/>
    </row>
    <row r="343">
      <c r="A343" s="30" t="n"/>
      <c r="B343" s="30" t="n"/>
      <c r="C343" s="30" t="n"/>
      <c r="D343" s="30" t="n"/>
    </row>
    <row r="344">
      <c r="A344" s="30" t="n"/>
      <c r="B344" s="30" t="n"/>
      <c r="C344" s="30" t="n"/>
      <c r="D344" s="30" t="n"/>
    </row>
    <row r="345">
      <c r="A345" s="30" t="n"/>
      <c r="B345" s="30" t="n"/>
      <c r="C345" s="30" t="n"/>
      <c r="D345" s="30" t="n"/>
    </row>
    <row r="346">
      <c r="A346" s="30" t="n"/>
      <c r="B346" s="30" t="n"/>
      <c r="C346" s="30" t="n"/>
      <c r="D346" s="30" t="n"/>
    </row>
    <row r="347">
      <c r="A347" s="30" t="n"/>
      <c r="B347" s="30" t="n"/>
      <c r="C347" s="30" t="n"/>
      <c r="D347" s="30" t="n"/>
    </row>
    <row r="348">
      <c r="A348" s="30" t="n"/>
      <c r="B348" s="30" t="n"/>
      <c r="C348" s="30" t="n"/>
      <c r="D348" s="30" t="n"/>
    </row>
    <row r="349">
      <c r="A349" s="30" t="n"/>
      <c r="B349" s="30" t="n"/>
      <c r="C349" s="30" t="n"/>
      <c r="D349" s="30" t="n"/>
    </row>
    <row r="350">
      <c r="A350" s="30" t="n"/>
      <c r="B350" s="30" t="n"/>
      <c r="C350" s="30" t="n"/>
      <c r="D350" s="30" t="n"/>
    </row>
    <row r="351">
      <c r="A351" s="30" t="n"/>
      <c r="B351" s="30" t="n"/>
      <c r="C351" s="30" t="n"/>
      <c r="D351" s="30" t="n"/>
    </row>
    <row r="352">
      <c r="A352" s="30" t="n"/>
      <c r="B352" s="30" t="n"/>
      <c r="C352" s="30" t="n"/>
      <c r="D352" s="30" t="n"/>
    </row>
    <row r="353">
      <c r="A353" s="30" t="n"/>
      <c r="B353" s="30" t="n"/>
      <c r="C353" s="30" t="n"/>
      <c r="D353" s="30" t="n"/>
    </row>
    <row r="354">
      <c r="A354" s="30" t="n"/>
      <c r="B354" s="30" t="n"/>
      <c r="C354" s="30" t="n"/>
      <c r="D354" s="30" t="n"/>
    </row>
    <row r="355">
      <c r="A355" s="30" t="n"/>
      <c r="B355" s="30" t="n"/>
      <c r="C355" s="30" t="n"/>
      <c r="D355" s="30" t="n"/>
    </row>
    <row r="356">
      <c r="A356" s="30" t="n"/>
      <c r="B356" s="30" t="n"/>
      <c r="C356" s="30" t="n"/>
      <c r="D356" s="30" t="n"/>
    </row>
    <row r="357">
      <c r="A357" s="30" t="n"/>
      <c r="B357" s="30" t="n"/>
      <c r="C357" s="30" t="n"/>
      <c r="D357" s="30" t="n"/>
    </row>
    <row r="358">
      <c r="A358" s="30" t="n"/>
      <c r="B358" s="30" t="n"/>
      <c r="C358" s="30" t="n"/>
      <c r="D358" s="30" t="n"/>
    </row>
    <row r="359">
      <c r="A359" s="30" t="n"/>
      <c r="B359" s="30" t="n"/>
      <c r="C359" s="30" t="n"/>
      <c r="D359" s="30" t="n"/>
    </row>
    <row r="360">
      <c r="A360" s="30" t="n"/>
      <c r="B360" s="30" t="n"/>
      <c r="C360" s="30" t="n"/>
      <c r="D360" s="30" t="n"/>
    </row>
    <row r="361">
      <c r="A361" s="30" t="n"/>
      <c r="B361" s="30" t="n"/>
      <c r="C361" s="30" t="n"/>
      <c r="D361" s="30" t="n"/>
    </row>
    <row r="362">
      <c r="A362" s="30" t="n"/>
      <c r="B362" s="30" t="n"/>
      <c r="C362" s="30" t="n"/>
      <c r="D362" s="30" t="n"/>
    </row>
    <row r="363">
      <c r="A363" s="30" t="n"/>
      <c r="B363" s="30" t="n"/>
      <c r="C363" s="30" t="n"/>
      <c r="D363" s="30" t="n"/>
    </row>
    <row r="364">
      <c r="A364" s="30" t="n"/>
      <c r="B364" s="30" t="n"/>
      <c r="C364" s="30" t="n"/>
      <c r="D364" s="30" t="n"/>
    </row>
    <row r="365">
      <c r="A365" s="30" t="n"/>
      <c r="B365" s="30" t="n"/>
      <c r="C365" s="30" t="n"/>
      <c r="D365" s="30" t="n"/>
    </row>
    <row r="366">
      <c r="A366" s="30" t="n"/>
      <c r="B366" s="30" t="n"/>
      <c r="C366" s="30" t="n"/>
      <c r="D366" s="30" t="n"/>
    </row>
    <row r="367">
      <c r="A367" s="30" t="n"/>
      <c r="B367" s="30" t="n"/>
      <c r="C367" s="30" t="n"/>
      <c r="D367" s="30" t="n"/>
    </row>
    <row r="368">
      <c r="A368" s="30" t="n"/>
      <c r="B368" s="30" t="n"/>
      <c r="C368" s="30" t="n"/>
      <c r="D368" s="30" t="n"/>
    </row>
    <row r="369">
      <c r="A369" s="30" t="n"/>
      <c r="B369" s="30" t="n"/>
      <c r="C369" s="30" t="n"/>
      <c r="D369" s="30" t="n"/>
    </row>
    <row r="370">
      <c r="A370" s="30" t="n"/>
      <c r="B370" s="30" t="n"/>
      <c r="C370" s="30" t="n"/>
      <c r="D370" s="30" t="n"/>
    </row>
    <row r="371">
      <c r="A371" s="30" t="n"/>
      <c r="B371" s="30" t="n"/>
      <c r="C371" s="30" t="n"/>
      <c r="D371" s="30" t="n"/>
    </row>
    <row r="372">
      <c r="A372" s="30" t="n"/>
      <c r="B372" s="30" t="n"/>
      <c r="C372" s="30" t="n"/>
      <c r="D372" s="30" t="n"/>
    </row>
    <row r="373">
      <c r="A373" s="30" t="n"/>
      <c r="B373" s="30" t="n"/>
      <c r="C373" s="30" t="n"/>
      <c r="D373" s="30" t="n"/>
    </row>
    <row r="374">
      <c r="A374" s="30" t="n"/>
      <c r="B374" s="30" t="n"/>
      <c r="C374" s="30" t="n"/>
      <c r="D374" s="30" t="n"/>
    </row>
    <row r="375">
      <c r="A375" s="30" t="n"/>
      <c r="B375" s="30" t="n"/>
      <c r="C375" s="30" t="n"/>
      <c r="D375" s="30" t="n"/>
    </row>
    <row r="376">
      <c r="A376" s="30" t="n"/>
      <c r="B376" s="30" t="n"/>
      <c r="C376" s="30" t="n"/>
      <c r="D376" s="30" t="n"/>
    </row>
    <row r="377">
      <c r="A377" s="30" t="n"/>
      <c r="B377" s="30" t="n"/>
      <c r="C377" s="30" t="n"/>
      <c r="D377" s="30" t="n"/>
    </row>
    <row r="378">
      <c r="A378" s="30" t="n"/>
      <c r="B378" s="30" t="n"/>
      <c r="C378" s="30" t="n"/>
      <c r="D378" s="30" t="n"/>
    </row>
    <row r="379">
      <c r="A379" s="30" t="n"/>
      <c r="B379" s="30" t="n"/>
      <c r="C379" s="30" t="n"/>
      <c r="D379" s="30" t="n"/>
    </row>
    <row r="380">
      <c r="A380" s="30" t="n"/>
      <c r="B380" s="30" t="n"/>
      <c r="C380" s="30" t="n"/>
      <c r="D380" s="30" t="n"/>
    </row>
    <row r="381">
      <c r="A381" s="30" t="n"/>
      <c r="B381" s="30" t="n"/>
      <c r="C381" s="30" t="n"/>
      <c r="D381" s="30" t="n"/>
    </row>
    <row r="382">
      <c r="A382" s="30" t="n"/>
      <c r="B382" s="30" t="n"/>
      <c r="C382" s="30" t="n"/>
      <c r="D382" s="30" t="n"/>
    </row>
    <row r="383">
      <c r="A383" s="30" t="n"/>
      <c r="B383" s="30" t="n"/>
      <c r="C383" s="30" t="n"/>
      <c r="D383" s="30" t="n"/>
    </row>
    <row r="384">
      <c r="A384" s="30" t="n"/>
      <c r="B384" s="30" t="n"/>
      <c r="C384" s="30" t="n"/>
      <c r="D384" s="30" t="n"/>
    </row>
    <row r="385">
      <c r="A385" s="30" t="n"/>
      <c r="B385" s="30" t="n"/>
      <c r="C385" s="30" t="n"/>
      <c r="D385" s="30" t="n"/>
    </row>
    <row r="386">
      <c r="A386" s="30" t="n"/>
      <c r="B386" s="30" t="n"/>
      <c r="C386" s="30" t="n"/>
      <c r="D386" s="30" t="n"/>
    </row>
    <row r="387">
      <c r="A387" s="30" t="n"/>
      <c r="B387" s="30" t="n"/>
      <c r="C387" s="30" t="n"/>
      <c r="D387" s="30" t="n"/>
    </row>
    <row r="388">
      <c r="A388" s="30" t="n"/>
      <c r="B388" s="30" t="n"/>
      <c r="C388" s="30" t="n"/>
      <c r="D388" s="30" t="n"/>
    </row>
    <row r="389">
      <c r="A389" s="30" t="n"/>
      <c r="B389" s="30" t="n"/>
      <c r="C389" s="30" t="n"/>
      <c r="D389" s="30" t="n"/>
    </row>
    <row r="390">
      <c r="A390" s="30" t="n"/>
      <c r="B390" s="30" t="n"/>
      <c r="C390" s="30" t="n"/>
      <c r="D390" s="30" t="n"/>
    </row>
    <row r="391">
      <c r="A391" s="30" t="n"/>
      <c r="B391" s="30" t="n"/>
      <c r="C391" s="30" t="n"/>
      <c r="D391" s="30" t="n"/>
    </row>
    <row r="392">
      <c r="A392" s="30" t="n"/>
      <c r="B392" s="30" t="n"/>
      <c r="C392" s="30" t="n"/>
      <c r="D392" s="30" t="n"/>
    </row>
    <row r="393">
      <c r="A393" s="30" t="n"/>
      <c r="B393" s="30" t="n"/>
      <c r="C393" s="30" t="n"/>
      <c r="D393" s="30" t="n"/>
    </row>
    <row r="394">
      <c r="A394" s="30" t="n"/>
      <c r="B394" s="30" t="n"/>
      <c r="C394" s="30" t="n"/>
      <c r="D394" s="30" t="n"/>
    </row>
    <row r="395">
      <c r="A395" s="30" t="n"/>
      <c r="B395" s="30" t="n"/>
      <c r="C395" s="30" t="n"/>
      <c r="D395" s="30" t="n"/>
    </row>
    <row r="396">
      <c r="A396" s="30" t="n"/>
      <c r="B396" s="30" t="n"/>
      <c r="C396" s="30" t="n"/>
      <c r="D396" s="30" t="n"/>
    </row>
    <row r="397">
      <c r="A397" s="30" t="n"/>
      <c r="B397" s="30" t="n"/>
      <c r="C397" s="30" t="n"/>
      <c r="D397" s="30" t="n"/>
    </row>
    <row r="398">
      <c r="A398" s="30" t="n"/>
      <c r="B398" s="30" t="n"/>
      <c r="C398" s="30" t="n"/>
      <c r="D398" s="30" t="n"/>
    </row>
    <row r="399">
      <c r="A399" s="30" t="n"/>
      <c r="B399" s="30" t="n"/>
      <c r="C399" s="30" t="n"/>
      <c r="D399" s="30" t="n"/>
    </row>
    <row r="400">
      <c r="A400" s="30" t="n"/>
      <c r="B400" s="30" t="n"/>
      <c r="C400" s="30" t="n"/>
      <c r="D400" s="30" t="n"/>
    </row>
    <row r="401">
      <c r="A401" s="30" t="n"/>
      <c r="B401" s="30" t="n"/>
      <c r="C401" s="30" t="n"/>
      <c r="D401" s="30" t="n"/>
    </row>
    <row r="402">
      <c r="A402" s="30" t="n"/>
      <c r="B402" s="30" t="n"/>
      <c r="C402" s="30" t="n"/>
      <c r="D402" s="30" t="n"/>
    </row>
    <row r="403">
      <c r="A403" s="30" t="n"/>
      <c r="B403" s="30" t="n"/>
      <c r="C403" s="30" t="n"/>
      <c r="D403" s="30" t="n"/>
    </row>
    <row r="404">
      <c r="A404" s="30" t="n"/>
      <c r="B404" s="30" t="n"/>
      <c r="C404" s="30" t="n"/>
      <c r="D404" s="30" t="n"/>
    </row>
    <row r="405">
      <c r="A405" s="30" t="n"/>
      <c r="B405" s="30" t="n"/>
      <c r="C405" s="30" t="n"/>
      <c r="D405" s="30" t="n"/>
    </row>
    <row r="406">
      <c r="A406" s="30" t="n"/>
      <c r="B406" s="30" t="n"/>
      <c r="C406" s="30" t="n"/>
      <c r="D406" s="30" t="n"/>
    </row>
    <row r="407">
      <c r="A407" s="30" t="n"/>
      <c r="B407" s="30" t="n"/>
      <c r="C407" s="30" t="n"/>
      <c r="D407" s="30" t="n"/>
    </row>
    <row r="408">
      <c r="A408" s="30" t="n"/>
      <c r="B408" s="30" t="n"/>
      <c r="C408" s="30" t="n"/>
      <c r="D408" s="30" t="n"/>
    </row>
    <row r="409">
      <c r="A409" s="30" t="n"/>
      <c r="B409" s="30" t="n"/>
      <c r="C409" s="30" t="n"/>
      <c r="D409" s="30" t="n"/>
    </row>
    <row r="410">
      <c r="A410" s="30" t="n"/>
      <c r="B410" s="30" t="n"/>
      <c r="C410" s="30" t="n"/>
      <c r="D410" s="30" t="n"/>
    </row>
    <row r="411">
      <c r="A411" s="30" t="n"/>
      <c r="B411" s="30" t="n"/>
      <c r="C411" s="30" t="n"/>
      <c r="D411" s="30" t="n"/>
    </row>
    <row r="412">
      <c r="A412" s="30" t="n"/>
      <c r="B412" s="30" t="n"/>
      <c r="C412" s="30" t="n"/>
      <c r="D412" s="30" t="n"/>
    </row>
    <row r="413">
      <c r="A413" s="30" t="n"/>
      <c r="B413" s="30" t="n"/>
      <c r="C413" s="30" t="n"/>
      <c r="D413" s="30" t="n"/>
    </row>
    <row r="414">
      <c r="A414" s="30" t="n"/>
      <c r="B414" s="30" t="n"/>
      <c r="C414" s="30" t="n"/>
      <c r="D414" s="30" t="n"/>
    </row>
    <row r="415">
      <c r="A415" s="30" t="n"/>
      <c r="B415" s="30" t="n"/>
      <c r="C415" s="30" t="n"/>
      <c r="D415" s="30" t="n"/>
    </row>
    <row r="416">
      <c r="A416" s="30" t="n"/>
      <c r="B416" s="30" t="n"/>
      <c r="C416" s="30" t="n"/>
      <c r="D416" s="30" t="n"/>
    </row>
    <row r="417">
      <c r="A417" s="30" t="n"/>
      <c r="B417" s="30" t="n"/>
      <c r="C417" s="30" t="n"/>
      <c r="D417" s="30" t="n"/>
    </row>
    <row r="418">
      <c r="A418" s="30" t="n"/>
      <c r="B418" s="30" t="n"/>
      <c r="C418" s="30" t="n"/>
      <c r="D418" s="30" t="n"/>
    </row>
    <row r="419">
      <c r="A419" s="30" t="n"/>
      <c r="B419" s="30" t="n"/>
      <c r="C419" s="30" t="n"/>
      <c r="D419" s="30" t="n"/>
    </row>
    <row r="420">
      <c r="A420" s="30" t="n"/>
      <c r="B420" s="30" t="n"/>
      <c r="C420" s="30" t="n"/>
      <c r="D420" s="30" t="n"/>
    </row>
    <row r="421">
      <c r="A421" s="30" t="n"/>
      <c r="B421" s="30" t="n"/>
      <c r="C421" s="30" t="n"/>
      <c r="D421" s="30" t="n"/>
    </row>
    <row r="422">
      <c r="A422" s="30" t="n"/>
      <c r="B422" s="30" t="n"/>
      <c r="C422" s="30" t="n"/>
      <c r="D422" s="30" t="n"/>
    </row>
    <row r="423">
      <c r="A423" s="30" t="n"/>
      <c r="B423" s="30" t="n"/>
      <c r="C423" s="30" t="n"/>
      <c r="D423" s="30" t="n"/>
    </row>
    <row r="424">
      <c r="A424" s="30" t="n"/>
      <c r="B424" s="30" t="n"/>
      <c r="C424" s="30" t="n"/>
      <c r="D424" s="30" t="n"/>
    </row>
    <row r="425">
      <c r="A425" s="30" t="n"/>
      <c r="B425" s="30" t="n"/>
      <c r="C425" s="30" t="n"/>
      <c r="D425" s="30" t="n"/>
    </row>
    <row r="426">
      <c r="A426" s="30" t="n"/>
      <c r="B426" s="30" t="n"/>
      <c r="C426" s="30" t="n"/>
      <c r="D426" s="30" t="n"/>
    </row>
    <row r="427">
      <c r="A427" s="30" t="n"/>
      <c r="B427" s="30" t="n"/>
      <c r="C427" s="30" t="n"/>
      <c r="D427" s="30" t="n"/>
    </row>
    <row r="428">
      <c r="A428" s="30" t="n"/>
      <c r="B428" s="30" t="n"/>
      <c r="C428" s="30" t="n"/>
      <c r="D428" s="30" t="n"/>
    </row>
    <row r="429">
      <c r="A429" s="30" t="n"/>
      <c r="B429" s="30" t="n"/>
      <c r="C429" s="30" t="n"/>
      <c r="D429" s="30" t="n"/>
    </row>
    <row r="430">
      <c r="A430" s="30" t="n"/>
      <c r="B430" s="30" t="n"/>
      <c r="C430" s="30" t="n"/>
      <c r="D430" s="30" t="n"/>
    </row>
    <row r="431">
      <c r="A431" s="30" t="n"/>
      <c r="B431" s="30" t="n"/>
      <c r="C431" s="30" t="n"/>
      <c r="D431" s="30" t="n"/>
    </row>
    <row r="432">
      <c r="A432" s="30" t="n"/>
      <c r="B432" s="30" t="n"/>
      <c r="C432" s="30" t="n"/>
      <c r="D432" s="30" t="n"/>
    </row>
    <row r="433">
      <c r="A433" s="30" t="n"/>
      <c r="B433" s="30" t="n"/>
      <c r="C433" s="30" t="n"/>
      <c r="D433" s="30" t="n"/>
    </row>
    <row r="434">
      <c r="A434" s="30" t="n"/>
      <c r="B434" s="30" t="n"/>
      <c r="C434" s="30" t="n"/>
      <c r="D434" s="30" t="n"/>
    </row>
    <row r="435">
      <c r="A435" s="30" t="n"/>
      <c r="B435" s="30" t="n"/>
      <c r="C435" s="30" t="n"/>
      <c r="D435" s="30" t="n"/>
    </row>
    <row r="436">
      <c r="A436" s="30" t="n"/>
      <c r="B436" s="30" t="n"/>
      <c r="C436" s="30" t="n"/>
      <c r="D436" s="30" t="n"/>
    </row>
    <row r="437">
      <c r="A437" s="30" t="n"/>
      <c r="B437" s="30" t="n"/>
      <c r="C437" s="30" t="n"/>
      <c r="D437" s="30" t="n"/>
    </row>
    <row r="438">
      <c r="A438" s="30" t="n"/>
      <c r="B438" s="30" t="n"/>
      <c r="C438" s="30" t="n"/>
      <c r="D438" s="30" t="n"/>
    </row>
    <row r="439">
      <c r="A439" s="30" t="n"/>
      <c r="B439" s="30" t="n"/>
      <c r="C439" s="30" t="n"/>
      <c r="D439" s="30" t="n"/>
    </row>
    <row r="440">
      <c r="A440" s="30" t="n"/>
      <c r="B440" s="30" t="n"/>
      <c r="C440" s="30" t="n"/>
      <c r="D440" s="30" t="n"/>
    </row>
    <row r="441">
      <c r="A441" s="30" t="n"/>
      <c r="B441" s="30" t="n"/>
      <c r="C441" s="30" t="n"/>
      <c r="D441" s="30" t="n"/>
    </row>
    <row r="442">
      <c r="A442" s="30" t="n"/>
      <c r="B442" s="30" t="n"/>
      <c r="C442" s="30" t="n"/>
      <c r="D442" s="30" t="n"/>
    </row>
    <row r="443">
      <c r="A443" s="30" t="n"/>
      <c r="B443" s="30" t="n"/>
      <c r="C443" s="30" t="n"/>
      <c r="D443" s="30" t="n"/>
    </row>
    <row r="444">
      <c r="A444" s="30" t="n"/>
      <c r="B444" s="30" t="n"/>
      <c r="C444" s="30" t="n"/>
      <c r="D444" s="30" t="n"/>
    </row>
    <row r="445">
      <c r="A445" s="30" t="n"/>
      <c r="B445" s="30" t="n"/>
      <c r="C445" s="30" t="n"/>
      <c r="D445" s="30" t="n"/>
    </row>
    <row r="446">
      <c r="A446" s="30" t="n"/>
      <c r="B446" s="30" t="n"/>
      <c r="C446" s="30" t="n"/>
      <c r="D446" s="30" t="n"/>
    </row>
    <row r="447">
      <c r="A447" s="30" t="n"/>
      <c r="B447" s="30" t="n"/>
      <c r="C447" s="30" t="n"/>
      <c r="D447" s="30" t="n"/>
    </row>
    <row r="448">
      <c r="A448" s="30" t="n"/>
      <c r="B448" s="30" t="n"/>
      <c r="C448" s="30" t="n"/>
      <c r="D448" s="30" t="n"/>
    </row>
    <row r="449">
      <c r="A449" s="30" t="n"/>
      <c r="B449" s="30" t="n"/>
      <c r="C449" s="30" t="n"/>
      <c r="D449" s="30" t="n"/>
    </row>
    <row r="450">
      <c r="A450" s="30" t="n"/>
      <c r="B450" s="30" t="n"/>
      <c r="C450" s="30" t="n"/>
      <c r="D450" s="30" t="n"/>
    </row>
    <row r="451">
      <c r="A451" s="30" t="n"/>
      <c r="B451" s="30" t="n"/>
      <c r="C451" s="30" t="n"/>
      <c r="D451" s="30" t="n"/>
    </row>
    <row r="452">
      <c r="A452" s="30" t="n"/>
      <c r="B452" s="30" t="n"/>
      <c r="C452" s="30" t="n"/>
      <c r="D452" s="30" t="n"/>
    </row>
    <row r="453">
      <c r="A453" s="30" t="n"/>
      <c r="B453" s="30" t="n"/>
      <c r="C453" s="30" t="n"/>
      <c r="D453" s="30" t="n"/>
    </row>
    <row r="454">
      <c r="A454" s="30" t="n"/>
      <c r="B454" s="30" t="n"/>
      <c r="C454" s="30" t="n"/>
      <c r="D454" s="30" t="n"/>
    </row>
    <row r="455">
      <c r="A455" s="30" t="n"/>
      <c r="B455" s="30" t="n"/>
      <c r="C455" s="30" t="n"/>
      <c r="D455" s="30" t="n"/>
    </row>
    <row r="456">
      <c r="A456" s="30" t="n"/>
      <c r="B456" s="30" t="n"/>
      <c r="C456" s="30" t="n"/>
      <c r="D456" s="30" t="n"/>
    </row>
    <row r="457">
      <c r="A457" s="30" t="n"/>
      <c r="B457" s="30" t="n"/>
      <c r="C457" s="30" t="n"/>
      <c r="D457" s="30" t="n"/>
    </row>
    <row r="458">
      <c r="A458" s="30" t="n"/>
      <c r="B458" s="30" t="n"/>
      <c r="C458" s="30" t="n"/>
      <c r="D458" s="30" t="n"/>
    </row>
    <row r="459">
      <c r="A459" s="30" t="n"/>
      <c r="B459" s="30" t="n"/>
      <c r="C459" s="30" t="n"/>
      <c r="D459" s="30" t="n"/>
    </row>
    <row r="460">
      <c r="A460" s="30" t="n"/>
      <c r="B460" s="30" t="n"/>
      <c r="C460" s="30" t="n"/>
      <c r="D460" s="30" t="n"/>
    </row>
    <row r="461">
      <c r="A461" s="30" t="n"/>
      <c r="B461" s="30" t="n"/>
      <c r="C461" s="30" t="n"/>
      <c r="D461" s="30" t="n"/>
    </row>
    <row r="462">
      <c r="A462" s="30" t="n"/>
      <c r="B462" s="30" t="n"/>
      <c r="C462" s="30" t="n"/>
      <c r="D462" s="30" t="n"/>
    </row>
    <row r="463">
      <c r="A463" s="30" t="n"/>
      <c r="B463" s="30" t="n"/>
      <c r="C463" s="30" t="n"/>
      <c r="D463" s="30" t="n"/>
    </row>
    <row r="464">
      <c r="A464" s="30" t="n"/>
      <c r="B464" s="30" t="n"/>
      <c r="C464" s="30" t="n"/>
      <c r="D464" s="30" t="n"/>
    </row>
    <row r="465">
      <c r="A465" s="30" t="n"/>
      <c r="B465" s="30" t="n"/>
      <c r="C465" s="30" t="n"/>
      <c r="D465" s="30" t="n"/>
    </row>
    <row r="466">
      <c r="A466" s="30" t="n"/>
      <c r="B466" s="30" t="n"/>
      <c r="C466" s="30" t="n"/>
      <c r="D466" s="30" t="n"/>
    </row>
    <row r="467">
      <c r="A467" s="30" t="n"/>
      <c r="B467" s="30" t="n"/>
      <c r="C467" s="30" t="n"/>
      <c r="D467" s="30" t="n"/>
    </row>
    <row r="468">
      <c r="A468" s="30" t="n"/>
      <c r="B468" s="30" t="n"/>
      <c r="C468" s="30" t="n"/>
      <c r="D468" s="30" t="n"/>
    </row>
    <row r="469">
      <c r="A469" s="30" t="n"/>
      <c r="B469" s="30" t="n"/>
      <c r="C469" s="30" t="n"/>
      <c r="D469" s="30" t="n"/>
    </row>
    <row r="470">
      <c r="A470" s="30" t="n"/>
      <c r="B470" s="30" t="n"/>
      <c r="C470" s="30" t="n"/>
      <c r="D470" s="30" t="n"/>
    </row>
    <row r="471">
      <c r="A471" s="30" t="n"/>
      <c r="B471" s="30" t="n"/>
      <c r="C471" s="30" t="n"/>
      <c r="D471" s="30" t="n"/>
    </row>
    <row r="472">
      <c r="A472" s="30" t="n"/>
      <c r="B472" s="30" t="n"/>
      <c r="C472" s="30" t="n"/>
      <c r="D472" s="30" t="n"/>
    </row>
    <row r="473">
      <c r="A473" s="30" t="n"/>
      <c r="B473" s="30" t="n"/>
      <c r="C473" s="30" t="n"/>
      <c r="D473" s="30" t="n"/>
    </row>
    <row r="474">
      <c r="A474" s="30" t="n"/>
      <c r="B474" s="30" t="n"/>
      <c r="C474" s="30" t="n"/>
      <c r="D474" s="30" t="n"/>
    </row>
    <row r="475">
      <c r="A475" s="30" t="n"/>
      <c r="B475" s="30" t="n"/>
      <c r="C475" s="30" t="n"/>
      <c r="D475" s="30" t="n"/>
    </row>
    <row r="476">
      <c r="A476" s="30" t="n"/>
      <c r="B476" s="30" t="n"/>
      <c r="C476" s="30" t="n"/>
      <c r="D476" s="30" t="n"/>
    </row>
    <row r="477">
      <c r="A477" s="30" t="n"/>
      <c r="B477" s="30" t="n"/>
      <c r="C477" s="30" t="n"/>
      <c r="D477" s="30" t="n"/>
    </row>
    <row r="478">
      <c r="A478" s="30" t="n"/>
      <c r="B478" s="30" t="n"/>
      <c r="C478" s="30" t="n"/>
      <c r="D478" s="30" t="n"/>
    </row>
    <row r="479">
      <c r="A479" s="30" t="n"/>
      <c r="B479" s="30" t="n"/>
      <c r="C479" s="30" t="n"/>
      <c r="D479" s="30" t="n"/>
    </row>
    <row r="480">
      <c r="A480" s="30" t="n"/>
      <c r="B480" s="30" t="n"/>
      <c r="C480" s="30" t="n"/>
      <c r="D480" s="30" t="n"/>
    </row>
    <row r="481">
      <c r="A481" s="30" t="n"/>
      <c r="B481" s="30" t="n"/>
      <c r="C481" s="30" t="n"/>
      <c r="D481" s="30" t="n"/>
    </row>
    <row r="482">
      <c r="A482" s="30" t="n"/>
      <c r="B482" s="30" t="n"/>
      <c r="C482" s="30" t="n"/>
      <c r="D482" s="30" t="n"/>
    </row>
    <row r="483">
      <c r="A483" s="30" t="n"/>
      <c r="B483" s="30" t="n"/>
      <c r="C483" s="30" t="n"/>
      <c r="D483" s="30" t="n"/>
    </row>
    <row r="484">
      <c r="A484" s="30" t="n"/>
      <c r="B484" s="30" t="n"/>
      <c r="C484" s="30" t="n"/>
      <c r="D484" s="30" t="n"/>
    </row>
    <row r="485">
      <c r="A485" s="30" t="n"/>
      <c r="B485" s="30" t="n"/>
      <c r="C485" s="30" t="n"/>
      <c r="D485" s="30" t="n"/>
    </row>
    <row r="486">
      <c r="A486" s="30" t="n"/>
      <c r="B486" s="30" t="n"/>
      <c r="C486" s="30" t="n"/>
      <c r="D486" s="30" t="n"/>
    </row>
    <row r="487">
      <c r="A487" s="30" t="n"/>
      <c r="B487" s="30" t="n"/>
      <c r="C487" s="30" t="n"/>
      <c r="D487" s="30" t="n"/>
    </row>
    <row r="488">
      <c r="A488" s="30" t="n"/>
      <c r="B488" s="30" t="n"/>
      <c r="C488" s="30" t="n"/>
      <c r="D488" s="30" t="n"/>
    </row>
    <row r="489">
      <c r="A489" s="30" t="n"/>
      <c r="B489" s="30" t="n"/>
      <c r="C489" s="30" t="n"/>
      <c r="D489" s="30" t="n"/>
    </row>
    <row r="490">
      <c r="A490" s="30" t="n"/>
      <c r="B490" s="30" t="n"/>
      <c r="C490" s="30" t="n"/>
      <c r="D490" s="30" t="n"/>
    </row>
    <row r="491">
      <c r="A491" s="30" t="n"/>
      <c r="B491" s="30" t="n"/>
      <c r="C491" s="30" t="n"/>
      <c r="D491" s="30" t="n"/>
    </row>
    <row r="492">
      <c r="A492" s="30" t="n"/>
      <c r="B492" s="30" t="n"/>
      <c r="C492" s="30" t="n"/>
      <c r="D492" s="30" t="n"/>
    </row>
    <row r="493">
      <c r="A493" s="30" t="n"/>
      <c r="B493" s="30" t="n"/>
      <c r="C493" s="30" t="n"/>
      <c r="D493" s="30" t="n"/>
    </row>
    <row r="494">
      <c r="A494" s="30" t="n"/>
      <c r="B494" s="30" t="n"/>
      <c r="C494" s="30" t="n"/>
      <c r="D494" s="30" t="n"/>
    </row>
    <row r="495">
      <c r="A495" s="30" t="n"/>
      <c r="B495" s="30" t="n"/>
      <c r="C495" s="30" t="n"/>
      <c r="D495" s="30" t="n"/>
    </row>
    <row r="496">
      <c r="A496" s="30" t="n"/>
      <c r="B496" s="30" t="n"/>
      <c r="C496" s="30" t="n"/>
      <c r="D496" s="30" t="n"/>
    </row>
    <row r="497">
      <c r="A497" s="30" t="n"/>
      <c r="B497" s="30" t="n"/>
      <c r="C497" s="30" t="n"/>
      <c r="D497" s="30" t="n"/>
    </row>
    <row r="498">
      <c r="A498" s="30" t="n"/>
      <c r="B498" s="30" t="n"/>
      <c r="C498" s="30" t="n"/>
      <c r="D498" s="30" t="n"/>
    </row>
    <row r="499">
      <c r="A499" s="30" t="n"/>
      <c r="B499" s="30" t="n"/>
      <c r="C499" s="30" t="n"/>
      <c r="D499" s="30" t="n"/>
    </row>
  </sheetData>
  <conditionalFormatting sqref="A6:D500">
    <cfRule type="expression" priority="1" dxfId="0">
      <formula>AND($A6&lt;&gt;"",MOD(ROW(),2)=0)</formula>
    </cfRule>
  </conditionalFormatting>
  <dataValidations count="3">
    <dataValidation sqref="B3" showDropDown="0" showInputMessage="0" showErrorMessage="1" allowBlank="1" errorTitle="Pilihan tidak valid" error="Pilih dari daftar, atau kosongkan untuk semua." type="list">
      <formula1>=Daftar!$I$2:$I$31</formula1>
    </dataValidation>
    <dataValidation sqref="D3" showDropDown="0" showInputMessage="0" showErrorMessage="1" allowBlank="1" errorTitle="Pilihan tidak valid" error="Pilih dari daftar, atau kosongkan untuk semua." type="list">
      <formula1>=Daftar!$G$2:$G$7</formula1>
    </dataValidation>
    <dataValidation sqref="F3" showDropDown="0" showInputMessage="0" showErrorMessage="1" allowBlank="1" errorTitle="Pilihan tidak valid" error="Pilih dari daftar, atau kosongkan untuk semua." type="list">
      <formula1>=Daftar!$E$2:$E$16</formula1>
    </dataValidation>
  </dataValidation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6" customWidth="1" min="2" max="2"/>
    <col width="34" customWidth="1" min="3" max="3"/>
    <col width="3" customWidth="1" min="4" max="4"/>
    <col width="26" customWidth="1" min="5" max="5"/>
    <col width="40" customWidth="1" min="6" max="6"/>
  </cols>
  <sheetData>
    <row r="1" ht="22" customHeight="1">
      <c r="A1" s="24" t="inlineStr">
        <is>
          <t>PANDUAN LEVEL SSI (SWIM SCHOOL INTERNATIONAL)</t>
        </is>
      </c>
    </row>
    <row r="3">
      <c r="A3" s="29" t="inlineStr">
        <is>
          <t>Kategori</t>
        </is>
      </c>
      <c r="B3" s="29" t="inlineStr">
        <is>
          <t>Level</t>
        </is>
      </c>
      <c r="C3" s="29" t="inlineStr">
        <is>
          <t>Rentang Usia</t>
        </is>
      </c>
      <c r="E3" s="31" t="inlineStr">
        <is>
          <t>PROGRAM / KELAS</t>
        </is>
      </c>
    </row>
    <row r="4">
      <c r="A4" s="30" t="inlineStr">
        <is>
          <t>Baby Swim</t>
        </is>
      </c>
      <c r="B4" s="30" t="inlineStr">
        <is>
          <t>Baby Swim I</t>
        </is>
      </c>
      <c r="C4" s="30" t="inlineStr">
        <is>
          <t>3 bulan - 2 thn 11 bln</t>
        </is>
      </c>
      <c r="E4" s="29" t="inlineStr">
        <is>
          <t>Program</t>
        </is>
      </c>
      <c r="F4" s="29" t="inlineStr">
        <is>
          <t>Warna di tab coach</t>
        </is>
      </c>
    </row>
    <row r="5">
      <c r="A5" s="32" t="inlineStr">
        <is>
          <t>Baby Swim</t>
        </is>
      </c>
      <c r="B5" s="32" t="inlineStr">
        <is>
          <t>Baby Swim II</t>
        </is>
      </c>
      <c r="C5" s="32" t="inlineStr">
        <is>
          <t>3 bulan - 2 thn 11 bln</t>
        </is>
      </c>
      <c r="E5" s="30" t="inlineStr">
        <is>
          <t>Private Class</t>
        </is>
      </c>
      <c r="F5" s="33" t="inlineStr">
        <is>
          <t>Biru muda</t>
        </is>
      </c>
    </row>
    <row r="6">
      <c r="A6" s="30" t="inlineStr">
        <is>
          <t>Aquatike</t>
        </is>
      </c>
      <c r="B6" s="30" t="inlineStr">
        <is>
          <t>Aquatike I</t>
        </is>
      </c>
      <c r="C6" s="30" t="inlineStr">
        <is>
          <t>3 thn - 4 thn 11 bln</t>
        </is>
      </c>
      <c r="E6" s="30" t="inlineStr">
        <is>
          <t>Couple Class</t>
        </is>
      </c>
      <c r="F6" s="33" t="inlineStr">
        <is>
          <t>Biru muda</t>
        </is>
      </c>
    </row>
    <row r="7">
      <c r="A7" s="32" t="inlineStr">
        <is>
          <t>Aquatike</t>
        </is>
      </c>
      <c r="B7" s="32" t="inlineStr">
        <is>
          <t>Aquatike II</t>
        </is>
      </c>
      <c r="C7" s="32" t="inlineStr">
        <is>
          <t>3 thn - 4 thn 11 bln</t>
        </is>
      </c>
      <c r="E7" s="30" t="inlineStr">
        <is>
          <t>Group Class</t>
        </is>
      </c>
      <c r="F7" s="33" t="inlineStr">
        <is>
          <t>Biru muda</t>
        </is>
      </c>
    </row>
    <row r="8">
      <c r="A8" s="30" t="inlineStr">
        <is>
          <t>Aquatike</t>
        </is>
      </c>
      <c r="B8" s="30" t="inlineStr">
        <is>
          <t>Aquatike III</t>
        </is>
      </c>
      <c r="C8" s="30" t="inlineStr">
        <is>
          <t>3 thn - 4 thn 11 bln</t>
        </is>
      </c>
      <c r="E8" s="30" t="inlineStr">
        <is>
          <t>Reguler Class</t>
        </is>
      </c>
      <c r="F8" s="33" t="inlineStr">
        <is>
          <t>Biru muda</t>
        </is>
      </c>
    </row>
    <row r="9">
      <c r="A9" s="32" t="inlineStr">
        <is>
          <t>Preschool</t>
        </is>
      </c>
      <c r="B9" s="32" t="inlineStr">
        <is>
          <t>Preschool I</t>
        </is>
      </c>
      <c r="C9" s="32" t="inlineStr">
        <is>
          <t>5 thn - 6 thn</t>
        </is>
      </c>
      <c r="E9" s="30" t="inlineStr">
        <is>
          <t>Baby Swim</t>
        </is>
      </c>
      <c r="F9" s="34" t="inlineStr">
        <is>
          <t>Merah muda</t>
        </is>
      </c>
    </row>
    <row r="10">
      <c r="A10" s="30" t="inlineStr">
        <is>
          <t>Preschool</t>
        </is>
      </c>
      <c r="B10" s="30" t="inlineStr">
        <is>
          <t>Preschool II</t>
        </is>
      </c>
      <c r="C10" s="30" t="inlineStr">
        <is>
          <t>5 thn - 6 thn</t>
        </is>
      </c>
      <c r="E10" s="30" t="inlineStr">
        <is>
          <t>Hydrotherapy Class</t>
        </is>
      </c>
      <c r="F10" s="34" t="inlineStr">
        <is>
          <t>Merah muda</t>
        </is>
      </c>
    </row>
    <row r="11">
      <c r="A11" s="32" t="inlineStr">
        <is>
          <t>Beginner</t>
        </is>
      </c>
      <c r="B11" s="32" t="inlineStr">
        <is>
          <t>Beginner I</t>
        </is>
      </c>
      <c r="C11" s="32" t="inlineStr">
        <is>
          <t>6 thn - dewasa</t>
        </is>
      </c>
    </row>
    <row r="12">
      <c r="A12" s="30" t="inlineStr">
        <is>
          <t>Beginner</t>
        </is>
      </c>
      <c r="B12" s="30" t="inlineStr">
        <is>
          <t>Beginner II</t>
        </is>
      </c>
      <c r="C12" s="30" t="inlineStr">
        <is>
          <t>6 thn - dewasa</t>
        </is>
      </c>
      <c r="E12" s="31" t="inlineStr">
        <is>
          <t>RISIKO &amp; SOSIALISASI</t>
        </is>
      </c>
    </row>
    <row r="13">
      <c r="A13" s="32" t="inlineStr">
        <is>
          <t>Beginner</t>
        </is>
      </c>
      <c r="B13" s="32" t="inlineStr">
        <is>
          <t>Beginner III</t>
        </is>
      </c>
      <c r="C13" s="32" t="inlineStr">
        <is>
          <t>6 thn - dewasa</t>
        </is>
      </c>
      <c r="E13" s="29" t="inlineStr">
        <is>
          <t>Nilai</t>
        </is>
      </c>
      <c r="F13" s="29" t="inlineStr">
        <is>
          <t>Warna</t>
        </is>
      </c>
    </row>
    <row r="14">
      <c r="A14" s="30" t="inlineStr">
        <is>
          <t>Intermediate</t>
        </is>
      </c>
      <c r="B14" s="30" t="inlineStr">
        <is>
          <t>Intermediate I</t>
        </is>
      </c>
      <c r="C14" s="30" t="inlineStr">
        <is>
          <t>6 thn - dewasa</t>
        </is>
      </c>
      <c r="E14" s="30" t="inlineStr">
        <is>
          <t>Risiko: Rendah</t>
        </is>
      </c>
      <c r="F14" s="35" t="inlineStr">
        <is>
          <t>otomatis saat dipilih</t>
        </is>
      </c>
    </row>
    <row r="15">
      <c r="A15" s="32" t="inlineStr">
        <is>
          <t>Intermediate</t>
        </is>
      </c>
      <c r="B15" s="32" t="inlineStr">
        <is>
          <t>Intermediate II</t>
        </is>
      </c>
      <c r="C15" s="32" t="inlineStr">
        <is>
          <t>6 thn - dewasa</t>
        </is>
      </c>
      <c r="E15" s="30" t="inlineStr">
        <is>
          <t>Risiko: Sedang</t>
        </is>
      </c>
      <c r="F15" s="26" t="inlineStr">
        <is>
          <t>otomatis saat dipilih</t>
        </is>
      </c>
    </row>
    <row r="16">
      <c r="A16" s="30" t="inlineStr">
        <is>
          <t>Advanced</t>
        </is>
      </c>
      <c r="B16" s="30" t="inlineStr">
        <is>
          <t>Advanced I</t>
        </is>
      </c>
      <c r="C16" s="30" t="inlineStr">
        <is>
          <t>6 thn - dewasa</t>
        </is>
      </c>
      <c r="E16" s="30" t="inlineStr">
        <is>
          <t>Risiko: Tinggi</t>
        </is>
      </c>
      <c r="F16" s="36" t="inlineStr">
        <is>
          <t>otomatis saat dipilih</t>
        </is>
      </c>
    </row>
    <row r="17">
      <c r="A17" s="32" t="inlineStr">
        <is>
          <t>Advanced</t>
        </is>
      </c>
      <c r="B17" s="32" t="inlineStr">
        <is>
          <t>Advanced II</t>
        </is>
      </c>
      <c r="C17" s="32" t="inlineStr">
        <is>
          <t>6 thn - dewasa</t>
        </is>
      </c>
      <c r="E17" s="30" t="inlineStr">
        <is>
          <t>Sosialisasi: Sudah</t>
        </is>
      </c>
      <c r="F17" s="37" t="inlineStr">
        <is>
          <t>otomatis saat dipilih</t>
        </is>
      </c>
    </row>
    <row r="18">
      <c r="A18" s="30" t="inlineStr">
        <is>
          <t>Swim Team Prep</t>
        </is>
      </c>
      <c r="B18" s="30" t="inlineStr">
        <is>
          <t>Swim Team Prep</t>
        </is>
      </c>
      <c r="C18" s="30" t="inlineStr">
        <is>
          <t>Transisi atlet kompetitif</t>
        </is>
      </c>
      <c r="E18" s="30" t="inlineStr">
        <is>
          <t>Sosialisasi: Belum</t>
        </is>
      </c>
      <c r="F18" s="38" t="inlineStr">
        <is>
          <t>otomatis saat dipilih</t>
        </is>
      </c>
    </row>
    <row r="21">
      <c r="A21" s="31" t="inlineStr">
        <is>
          <t>KETERANGAN STATUS</t>
        </is>
      </c>
      <c r="E21" s="31" t="inlineStr">
        <is>
          <t>CARA PAKAI FILE INI</t>
        </is>
      </c>
    </row>
    <row r="22">
      <c r="A22" s="29" t="inlineStr">
        <is>
          <t>Status</t>
        </is>
      </c>
      <c r="B22" s="29" t="inlineStr">
        <is>
          <t>Keterangan</t>
        </is>
      </c>
      <c r="E22" s="39" t="inlineStr">
        <is>
          <t>1. Isi data hanya di tab coach (kolom putih). Kolom dropdown tinggal pilih.</t>
        </is>
      </c>
    </row>
    <row r="23">
      <c r="A23" s="30" t="inlineStr">
        <is>
          <t>PA (Parent Assist)</t>
        </is>
      </c>
      <c r="B23" s="30" t="inlineStr">
        <is>
          <t>Ada pendamping di air</t>
        </is>
      </c>
      <c r="E23" s="39" t="inlineStr">
        <is>
          <t>2. Kolom No dan Coach terisi otomatis - jangan diketik manual.</t>
        </is>
      </c>
    </row>
    <row r="24">
      <c r="A24" s="30" t="inlineStr">
        <is>
          <t>Standalone</t>
        </is>
      </c>
      <c r="B24" s="30" t="inlineStr">
        <is>
          <t>Mandiri tanpa pendamping</t>
        </is>
      </c>
      <c r="E24" s="39" t="inlineStr">
        <is>
          <t>3. Tabel kanan di tiap tab coach adalah jadwal latihan: isi Jam, Nama Siswa, Lokasi, Kolam.</t>
        </is>
      </c>
    </row>
    <row r="25">
      <c r="E25" s="39" t="inlineStr">
        <is>
          <t>4. Tab DASHBOARD dan Member Aktif menghitung sendiri dari 30 tab coach.</t>
        </is>
      </c>
    </row>
    <row r="26">
      <c r="E26" s="39" t="inlineStr">
        <is>
          <t>5. Tab Member Aktif: pilih Coach / Program / Level untuk menyaring; kosongkan untuk semua.</t>
        </is>
      </c>
    </row>
    <row r="27">
      <c r="E27" s="39" t="inlineStr">
        <is>
          <t>6. Tab DataMember, Data Dashboard, dan Daftar disembunyikan (sumber rumus &amp; dropdown). Jangan diubah.</t>
        </is>
      </c>
    </row>
    <row r="28">
      <c r="E28" s="39" t="inlineStr">
        <is>
          <t>7. Rumus SORT + FILTER di Member Aktif dibuat untuk Google Sheets (Excel 365 juga mendukung).</t>
        </is>
      </c>
    </row>
    <row r="29">
      <c r="E29" s="39" t="inlineStr">
        <is>
          <t>Sumber data awal: Database_Siswa_Twenty_SSI.xlsx (Nama, Level Saat Ini, Status) per tab coach.</t>
        </is>
      </c>
    </row>
    <row r="30">
      <c r="E30" s="39" t="inlineStr">
        <is>
          <t>Program/Kelas diisi otomatis hanya jika ada petunjuk di data asal, mis. '(Private)', '(Grup)',</t>
        </is>
      </c>
    </row>
    <row r="31">
      <c r="E31" s="39" t="inlineStr">
        <is>
          <t>'(Couple)', 'Swim/Hydro Therapy' -&gt; Hydrotherapy Class, level Baby Swim -&gt; Baby Swim. Sisanya kosong.</t>
        </is>
      </c>
    </row>
  </sheetData>
  <mergeCells count="10">
    <mergeCell ref="E30:F30"/>
    <mergeCell ref="E29:F29"/>
    <mergeCell ref="E24:F24"/>
    <mergeCell ref="E25:F25"/>
    <mergeCell ref="E27:F27"/>
    <mergeCell ref="E28:F28"/>
    <mergeCell ref="E23:F23"/>
    <mergeCell ref="E22:F22"/>
    <mergeCell ref="E26:F26"/>
    <mergeCell ref="E31:F3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Aina Triyana Anggraini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Nazeeva Hulwa Elzanitha</t>
        </is>
      </c>
      <c r="C5" s="30" t="inlineStr">
        <is>
          <t>Baby Swim</t>
        </is>
      </c>
      <c r="D5" s="30" t="inlineStr">
        <is>
          <t>Baby Swim I</t>
        </is>
      </c>
      <c r="E5" s="43" t="inlineStr">
        <is>
          <t>PA</t>
        </is>
      </c>
      <c r="F5" s="43" t="n"/>
      <c r="G5" s="43" t="n"/>
      <c r="H5" s="30">
        <f>IF($B5&lt;&gt;"","Aina Triyana Anggraini","")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Askara Al Biruni</t>
        </is>
      </c>
      <c r="C6" s="30" t="inlineStr">
        <is>
          <t>Baby Swim</t>
        </is>
      </c>
      <c r="D6" s="30" t="inlineStr">
        <is>
          <t>Baby Swim I</t>
        </is>
      </c>
      <c r="E6" s="43" t="inlineStr">
        <is>
          <t>PA</t>
        </is>
      </c>
      <c r="F6" s="43" t="n"/>
      <c r="G6" s="43" t="n"/>
      <c r="H6" s="30">
        <f>IF($B6&lt;&gt;"","Aina Triyana Anggraini","")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Sakina</t>
        </is>
      </c>
      <c r="C7" s="30" t="n"/>
      <c r="D7" s="30" t="inlineStr">
        <is>
          <t>Preschool I</t>
        </is>
      </c>
      <c r="E7" s="43" t="inlineStr">
        <is>
          <t>Standalone</t>
        </is>
      </c>
      <c r="F7" s="43" t="n"/>
      <c r="G7" s="43" t="n"/>
      <c r="H7" s="30">
        <f>IF($B7&lt;&gt;"","Aina Triyana Anggraini","")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Lubna</t>
        </is>
      </c>
      <c r="C8" s="30" t="n"/>
      <c r="D8" s="30" t="inlineStr">
        <is>
          <t>Preschool I</t>
        </is>
      </c>
      <c r="E8" s="43" t="inlineStr">
        <is>
          <t>Standalone</t>
        </is>
      </c>
      <c r="F8" s="43" t="n"/>
      <c r="G8" s="43" t="n"/>
      <c r="H8" s="30">
        <f>IF($B8&lt;&gt;"","Aina Triyana Anggraini","")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Finna</t>
        </is>
      </c>
      <c r="C9" s="30" t="n"/>
      <c r="D9" s="30" t="inlineStr">
        <is>
          <t>Aquatike I</t>
        </is>
      </c>
      <c r="E9" s="43" t="inlineStr">
        <is>
          <t>Standalone</t>
        </is>
      </c>
      <c r="F9" s="43" t="n"/>
      <c r="G9" s="43" t="n"/>
      <c r="H9" s="30">
        <f>IF($B9&lt;&gt;"","Aina Triyana Anggraini","")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Falisha</t>
        </is>
      </c>
      <c r="C10" s="30" t="n"/>
      <c r="D10" s="30" t="inlineStr">
        <is>
          <t>Preschool I</t>
        </is>
      </c>
      <c r="E10" s="43" t="inlineStr">
        <is>
          <t>Standalone</t>
        </is>
      </c>
      <c r="F10" s="43" t="n"/>
      <c r="G10" s="43" t="n"/>
      <c r="H10" s="30">
        <f>IF($B10&lt;&gt;"","Aina Triyana Anggraini","")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Medina</t>
        </is>
      </c>
      <c r="C11" s="30" t="n"/>
      <c r="D11" s="30" t="inlineStr">
        <is>
          <t>Aquatike I</t>
        </is>
      </c>
      <c r="E11" s="43" t="inlineStr">
        <is>
          <t>Standalone</t>
        </is>
      </c>
      <c r="F11" s="43" t="n"/>
      <c r="G11" s="43" t="n"/>
      <c r="H11" s="30">
        <f>IF($B11&lt;&gt;"","Aina Triyana Anggraini","")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Jennaira</t>
        </is>
      </c>
      <c r="C12" s="30" t="n"/>
      <c r="D12" s="30" t="inlineStr">
        <is>
          <t>Aquatike I</t>
        </is>
      </c>
      <c r="E12" s="43" t="inlineStr">
        <is>
          <t>Standalone</t>
        </is>
      </c>
      <c r="F12" s="43" t="n"/>
      <c r="G12" s="43" t="n"/>
      <c r="H12" s="30">
        <f>IF($B12&lt;&gt;"","Aina Triyana Anggraini","")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Mikayla</t>
        </is>
      </c>
      <c r="C13" s="30" t="n"/>
      <c r="D13" s="30" t="inlineStr">
        <is>
          <t>Preschool I</t>
        </is>
      </c>
      <c r="E13" s="43" t="inlineStr">
        <is>
          <t>Standalone</t>
        </is>
      </c>
      <c r="F13" s="43" t="n"/>
      <c r="G13" s="43" t="n"/>
      <c r="H13" s="30">
        <f>IF($B13&lt;&gt;"","Aina Triyana Anggraini","")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n"/>
      <c r="C14" s="30" t="n"/>
      <c r="D14" s="30" t="n"/>
      <c r="E14" s="43" t="n"/>
      <c r="F14" s="43" t="n"/>
      <c r="G14" s="43" t="n"/>
      <c r="H14" s="30">
        <f>IF($B14&lt;&gt;"","Aina Triyana Anggraini","")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n"/>
      <c r="C15" s="30" t="n"/>
      <c r="D15" s="30" t="n"/>
      <c r="E15" s="43" t="n"/>
      <c r="F15" s="43" t="n"/>
      <c r="G15" s="43" t="n"/>
      <c r="H15" s="30">
        <f>IF($B15&lt;&gt;"","Aina Triyana Anggraini","")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IF($B16&lt;&gt;"","Aina Triyana Anggraini","")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IF($B17&lt;&gt;"","Aina Triyana Anggraini","")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IF($B18&lt;&gt;"","Aina Triyana Anggraini","")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IF($B19&lt;&gt;"","Aina Triyana Anggraini","")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IF($B20&lt;&gt;"","Aina Triyana Anggraini","")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IF($B21&lt;&gt;"","Aina Triyana Anggraini","")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IF($B22&lt;&gt;"","Aina Triyana Anggraini","")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IF($B23&lt;&gt;"","Aina Triyana Anggraini","")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IF($B24&lt;&gt;"","Aina Triyana Anggraini","")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IF($B25&lt;&gt;"","Aina Triyana Anggraini","")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IF($B26&lt;&gt;"","Aina Triyana Anggraini","")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IF($B27&lt;&gt;"","Aina Triyana Anggraini","")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IF($B28&lt;&gt;"","Aina Triyana Anggraini","")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IF($B29&lt;&gt;"","Aina Triyana Anggraini","")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IF($B30&lt;&gt;"","Aina Triyana Anggraini","")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IF($B31&lt;&gt;"","Aina Triyana Anggraini","")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IF($B32&lt;&gt;"","Aina Triyana Anggraini","")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IF($B33&lt;&gt;"","Aina Triyana Anggraini","")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IF($B34&lt;&gt;"","Aina Triyana Anggraini","")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IF($B35&lt;&gt;"","Aina Triyana Anggraini","")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IF($B36&lt;&gt;"","Aina Triyana Anggraini","")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IF($B37&lt;&gt;"","Aina Triyana Anggraini","")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IF($B38&lt;&gt;"","Aina Triyana Anggraini","")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IF($B39&lt;&gt;"","Aina Triyana Anggraini","")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IF($B40&lt;&gt;"","Aina Triyana Anggraini","")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IF($B41&lt;&gt;"","Aina Triyana Anggraini","")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IF($B42&lt;&gt;"","Aina Triyana Anggraini","")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IF($B43&lt;&gt;"","Aina Triyana Anggraini","")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IF($B44&lt;&gt;"","Aina Triyana Anggraini","")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IF($B45&lt;&gt;"","Aina Triyana Anggraini","")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IF($B46&lt;&gt;"","Aina Triyana Anggraini","")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IF($B47&lt;&gt;"","Aina Triyana Anggraini","")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IF($B48&lt;&gt;"","Aina Triyana Anggraini","")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IF($B49&lt;&gt;"","Aina Triyana Anggraini","")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IF($B50&lt;&gt;"","Aina Triyana Anggraini","")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IF($B51&lt;&gt;"","Aina Triyana Anggraini","")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IF($B52&lt;&gt;"","Aina Triyana Anggraini","")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IF($B53&lt;&gt;"","Aina Triyana Anggraini","")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IF($B54&lt;&gt;"","Aina Triyana Anggraini","")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Aldi Suryadinata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Elvano</t>
        </is>
      </c>
      <c r="C5" s="30" t="n"/>
      <c r="D5" s="30" t="inlineStr">
        <is>
          <t>Aquatike I</t>
        </is>
      </c>
      <c r="E5" s="43" t="inlineStr">
        <is>
          <t>PA</t>
        </is>
      </c>
      <c r="F5" s="43" t="n"/>
      <c r="G5" s="43" t="n"/>
      <c r="H5" s="30">
        <f>IF($B5&lt;&gt;"","Aldi Suryadinata","")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Rajendra</t>
        </is>
      </c>
      <c r="C6" s="30" t="n"/>
      <c r="D6" s="30" t="inlineStr">
        <is>
          <t>Aquatike II</t>
        </is>
      </c>
      <c r="E6" s="43" t="inlineStr">
        <is>
          <t>Standalone</t>
        </is>
      </c>
      <c r="F6" s="43" t="n"/>
      <c r="G6" s="43" t="n"/>
      <c r="H6" s="30">
        <f>IF($B6&lt;&gt;"","Aldi Suryadinata","")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Fathan</t>
        </is>
      </c>
      <c r="C7" s="30" t="n"/>
      <c r="D7" s="30" t="inlineStr">
        <is>
          <t>Beginner II</t>
        </is>
      </c>
      <c r="E7" s="43" t="inlineStr">
        <is>
          <t>Standalone</t>
        </is>
      </c>
      <c r="F7" s="43" t="n"/>
      <c r="G7" s="43" t="n"/>
      <c r="H7" s="30">
        <f>IF($B7&lt;&gt;"","Aldi Suryadinata","")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Khalid</t>
        </is>
      </c>
      <c r="C8" s="30" t="n"/>
      <c r="D8" s="30" t="inlineStr">
        <is>
          <t>Aquatike II</t>
        </is>
      </c>
      <c r="E8" s="43" t="inlineStr">
        <is>
          <t>Standalone</t>
        </is>
      </c>
      <c r="F8" s="43" t="n"/>
      <c r="G8" s="43" t="n"/>
      <c r="H8" s="30">
        <f>IF($B8&lt;&gt;"","Aldi Suryadinata","")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Khafi</t>
        </is>
      </c>
      <c r="C9" s="30" t="n"/>
      <c r="D9" s="30" t="inlineStr">
        <is>
          <t>Aquatike II</t>
        </is>
      </c>
      <c r="E9" s="43" t="inlineStr">
        <is>
          <t>Standalone</t>
        </is>
      </c>
      <c r="F9" s="43" t="n"/>
      <c r="G9" s="43" t="n"/>
      <c r="H9" s="30">
        <f>IF($B9&lt;&gt;"","Aldi Suryadinata","")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Arshad</t>
        </is>
      </c>
      <c r="C10" s="30" t="n"/>
      <c r="D10" s="30" t="inlineStr">
        <is>
          <t>Beginner I</t>
        </is>
      </c>
      <c r="E10" s="43" t="n"/>
      <c r="F10" s="43" t="n"/>
      <c r="G10" s="43" t="n"/>
      <c r="H10" s="30">
        <f>IF($B10&lt;&gt;"","Aldi Suryadinata","")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n"/>
      <c r="C11" s="30" t="n"/>
      <c r="D11" s="30" t="n"/>
      <c r="E11" s="43" t="n"/>
      <c r="F11" s="43" t="n"/>
      <c r="G11" s="43" t="n"/>
      <c r="H11" s="30">
        <f>IF($B11&lt;&gt;"","Aldi Suryadinata","")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n"/>
      <c r="C12" s="30" t="n"/>
      <c r="D12" s="30" t="n"/>
      <c r="E12" s="43" t="n"/>
      <c r="F12" s="43" t="n"/>
      <c r="G12" s="43" t="n"/>
      <c r="H12" s="30">
        <f>IF($B12&lt;&gt;"","Aldi Suryadinata","")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n"/>
      <c r="C13" s="30" t="n"/>
      <c r="D13" s="30" t="n"/>
      <c r="E13" s="43" t="n"/>
      <c r="F13" s="43" t="n"/>
      <c r="G13" s="43" t="n"/>
      <c r="H13" s="30">
        <f>IF($B13&lt;&gt;"","Aldi Suryadinata","")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n"/>
      <c r="C14" s="30" t="n"/>
      <c r="D14" s="30" t="n"/>
      <c r="E14" s="43" t="n"/>
      <c r="F14" s="43" t="n"/>
      <c r="G14" s="43" t="n"/>
      <c r="H14" s="30">
        <f>IF($B14&lt;&gt;"","Aldi Suryadinata","")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n"/>
      <c r="C15" s="30" t="n"/>
      <c r="D15" s="30" t="n"/>
      <c r="E15" s="43" t="n"/>
      <c r="F15" s="43" t="n"/>
      <c r="G15" s="43" t="n"/>
      <c r="H15" s="30">
        <f>IF($B15&lt;&gt;"","Aldi Suryadinata","")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IF($B16&lt;&gt;"","Aldi Suryadinata","")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IF($B17&lt;&gt;"","Aldi Suryadinata","")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IF($B18&lt;&gt;"","Aldi Suryadinata","")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IF($B19&lt;&gt;"","Aldi Suryadinata","")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IF($B20&lt;&gt;"","Aldi Suryadinata","")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IF($B21&lt;&gt;"","Aldi Suryadinata","")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IF($B22&lt;&gt;"","Aldi Suryadinata","")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IF($B23&lt;&gt;"","Aldi Suryadinata","")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IF($B24&lt;&gt;"","Aldi Suryadinata","")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IF($B25&lt;&gt;"","Aldi Suryadinata","")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IF($B26&lt;&gt;"","Aldi Suryadinata","")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IF($B27&lt;&gt;"","Aldi Suryadinata","")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IF($B28&lt;&gt;"","Aldi Suryadinata","")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IF($B29&lt;&gt;"","Aldi Suryadinata","")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IF($B30&lt;&gt;"","Aldi Suryadinata","")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IF($B31&lt;&gt;"","Aldi Suryadinata","")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IF($B32&lt;&gt;"","Aldi Suryadinata","")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IF($B33&lt;&gt;"","Aldi Suryadinata","")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IF($B34&lt;&gt;"","Aldi Suryadinata","")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IF($B35&lt;&gt;"","Aldi Suryadinata","")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IF($B36&lt;&gt;"","Aldi Suryadinata","")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IF($B37&lt;&gt;"","Aldi Suryadinata","")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IF($B38&lt;&gt;"","Aldi Suryadinata","")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IF($B39&lt;&gt;"","Aldi Suryadinata","")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IF($B40&lt;&gt;"","Aldi Suryadinata","")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IF($B41&lt;&gt;"","Aldi Suryadinata","")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IF($B42&lt;&gt;"","Aldi Suryadinata","")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IF($B43&lt;&gt;"","Aldi Suryadinata","")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IF($B44&lt;&gt;"","Aldi Suryadinata","")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IF($B45&lt;&gt;"","Aldi Suryadinata","")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IF($B46&lt;&gt;"","Aldi Suryadinata","")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IF($B47&lt;&gt;"","Aldi Suryadinata","")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IF($B48&lt;&gt;"","Aldi Suryadinata","")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IF($B49&lt;&gt;"","Aldi Suryadinata","")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IF($B50&lt;&gt;"","Aldi Suryadinata","")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IF($B51&lt;&gt;"","Aldi Suryadinata","")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IF($B52&lt;&gt;"","Aldi Suryadinata","")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IF($B53&lt;&gt;"","Aldi Suryadinata","")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IF($B54&lt;&gt;"","Aldi Suryadinata","")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Asyahlan Hielmy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Muhammad Zaki Faturrahman (Private)</t>
        </is>
      </c>
      <c r="C5" s="30" t="inlineStr">
        <is>
          <t>Private Class</t>
        </is>
      </c>
      <c r="D5" s="30" t="inlineStr">
        <is>
          <t>Intermediate I</t>
        </is>
      </c>
      <c r="E5" s="43" t="inlineStr">
        <is>
          <t>Standalone</t>
        </is>
      </c>
      <c r="F5" s="43" t="n"/>
      <c r="G5" s="43" t="n"/>
      <c r="H5" s="30">
        <f>IF($B5&lt;&gt;"","Asyahlan Hielmy","")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Ibrahim (Private)</t>
        </is>
      </c>
      <c r="C6" s="30" t="inlineStr">
        <is>
          <t>Private Class</t>
        </is>
      </c>
      <c r="D6" s="30" t="inlineStr">
        <is>
          <t>Intermediate I</t>
        </is>
      </c>
      <c r="E6" s="43" t="inlineStr">
        <is>
          <t>Standalone</t>
        </is>
      </c>
      <c r="F6" s="43" t="n"/>
      <c r="G6" s="43" t="n"/>
      <c r="H6" s="30">
        <f>IF($B6&lt;&gt;"","Asyahlan Hielmy","")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Kirana (Grup)</t>
        </is>
      </c>
      <c r="C7" s="30" t="inlineStr">
        <is>
          <t>Group Class</t>
        </is>
      </c>
      <c r="D7" s="30" t="inlineStr">
        <is>
          <t>Preschool II</t>
        </is>
      </c>
      <c r="E7" s="43" t="inlineStr">
        <is>
          <t>Standalone</t>
        </is>
      </c>
      <c r="F7" s="43" t="n"/>
      <c r="G7" s="43" t="n"/>
      <c r="H7" s="30">
        <f>IF($B7&lt;&gt;"","Asyahlan Hielmy","")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Qinara (Grup)</t>
        </is>
      </c>
      <c r="C8" s="30" t="inlineStr">
        <is>
          <t>Group Class</t>
        </is>
      </c>
      <c r="D8" s="30" t="inlineStr">
        <is>
          <t>Preschool II</t>
        </is>
      </c>
      <c r="E8" s="43" t="inlineStr">
        <is>
          <t>Standalone</t>
        </is>
      </c>
      <c r="F8" s="43" t="n"/>
      <c r="G8" s="43" t="n"/>
      <c r="H8" s="30">
        <f>IF($B8&lt;&gt;"","Asyahlan Hielmy","")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Neima (Grup)</t>
        </is>
      </c>
      <c r="C9" s="30" t="inlineStr">
        <is>
          <t>Group Class</t>
        </is>
      </c>
      <c r="D9" s="30" t="inlineStr">
        <is>
          <t>Beginner II</t>
        </is>
      </c>
      <c r="E9" s="43" t="inlineStr">
        <is>
          <t>Standalone</t>
        </is>
      </c>
      <c r="F9" s="43" t="n"/>
      <c r="G9" s="43" t="n"/>
      <c r="H9" s="30">
        <f>IF($B9&lt;&gt;"","Asyahlan Hielmy","")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Abrizam (Private)</t>
        </is>
      </c>
      <c r="C10" s="30" t="inlineStr">
        <is>
          <t>Private Class</t>
        </is>
      </c>
      <c r="D10" s="30" t="inlineStr">
        <is>
          <t>Beginner I</t>
        </is>
      </c>
      <c r="E10" s="43" t="inlineStr">
        <is>
          <t>Standalone</t>
        </is>
      </c>
      <c r="F10" s="43" t="n"/>
      <c r="G10" s="43" t="n"/>
      <c r="H10" s="30">
        <f>IF($B10&lt;&gt;"","Asyahlan Hielmy","")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Raffasya (Private)</t>
        </is>
      </c>
      <c r="C11" s="30" t="inlineStr">
        <is>
          <t>Private Class</t>
        </is>
      </c>
      <c r="D11" s="30" t="inlineStr">
        <is>
          <t>Beginner I</t>
        </is>
      </c>
      <c r="E11" s="43" t="inlineStr">
        <is>
          <t>Standalone</t>
        </is>
      </c>
      <c r="F11" s="43" t="n"/>
      <c r="G11" s="43" t="n"/>
      <c r="H11" s="30">
        <f>IF($B11&lt;&gt;"","Asyahlan Hielmy","")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Rasyid (Private)</t>
        </is>
      </c>
      <c r="C12" s="30" t="inlineStr">
        <is>
          <t>Private Class</t>
        </is>
      </c>
      <c r="D12" s="30" t="inlineStr">
        <is>
          <t>Beginner I</t>
        </is>
      </c>
      <c r="E12" s="43" t="inlineStr">
        <is>
          <t>Standalone</t>
        </is>
      </c>
      <c r="F12" s="43" t="n"/>
      <c r="G12" s="43" t="n"/>
      <c r="H12" s="30">
        <f>IF($B12&lt;&gt;"","Asyahlan Hielmy","")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Irzany Kautsar Hanan Ubaidillah (Private)</t>
        </is>
      </c>
      <c r="C13" s="30" t="inlineStr">
        <is>
          <t>Private Class</t>
        </is>
      </c>
      <c r="D13" s="30" t="inlineStr">
        <is>
          <t>Beginner I</t>
        </is>
      </c>
      <c r="E13" s="43" t="inlineStr">
        <is>
          <t>PA</t>
        </is>
      </c>
      <c r="F13" s="43" t="n"/>
      <c r="G13" s="43" t="n"/>
      <c r="H13" s="30">
        <f>IF($B13&lt;&gt;"","Asyahlan Hielmy","")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Izdihar Uwais Ubaidillah</t>
        </is>
      </c>
      <c r="C14" s="30" t="n"/>
      <c r="D14" s="30" t="inlineStr">
        <is>
          <t>Aquatike I</t>
        </is>
      </c>
      <c r="E14" s="43" t="inlineStr">
        <is>
          <t>PA</t>
        </is>
      </c>
      <c r="F14" s="43" t="n"/>
      <c r="G14" s="43" t="n"/>
      <c r="H14" s="30">
        <f>IF($B14&lt;&gt;"","Asyahlan Hielmy","")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Janitra (Private)</t>
        </is>
      </c>
      <c r="C15" s="30" t="inlineStr">
        <is>
          <t>Private Class</t>
        </is>
      </c>
      <c r="D15" s="30" t="inlineStr">
        <is>
          <t>Aquatike I</t>
        </is>
      </c>
      <c r="E15" s="43" t="inlineStr">
        <is>
          <t>Standalone</t>
        </is>
      </c>
      <c r="F15" s="43" t="n"/>
      <c r="G15" s="43" t="n"/>
      <c r="H15" s="30">
        <f>IF($B15&lt;&gt;"","Asyahlan Hielmy","")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Abbasy (Private)</t>
        </is>
      </c>
      <c r="C16" s="30" t="inlineStr">
        <is>
          <t>Private Class</t>
        </is>
      </c>
      <c r="D16" s="30" t="inlineStr">
        <is>
          <t>Aquatike I</t>
        </is>
      </c>
      <c r="E16" s="43" t="inlineStr">
        <is>
          <t>PA</t>
        </is>
      </c>
      <c r="F16" s="43" t="n"/>
      <c r="G16" s="43" t="n"/>
      <c r="H16" s="30">
        <f>IF($B16&lt;&gt;"","Asyahlan Hielmy","")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Ghava (Private Summarecon)</t>
        </is>
      </c>
      <c r="C17" s="30" t="inlineStr">
        <is>
          <t>Private Class</t>
        </is>
      </c>
      <c r="D17" s="30" t="inlineStr">
        <is>
          <t>Aquatike I</t>
        </is>
      </c>
      <c r="E17" s="43" t="inlineStr">
        <is>
          <t>PA</t>
        </is>
      </c>
      <c r="F17" s="43" t="n"/>
      <c r="G17" s="43" t="n"/>
      <c r="H17" s="30">
        <f>IF($B17&lt;&gt;"","Asyahlan Hielmy","")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Keihan (Private Summarecon)</t>
        </is>
      </c>
      <c r="C18" s="30" t="inlineStr">
        <is>
          <t>Private Class</t>
        </is>
      </c>
      <c r="D18" s="30" t="inlineStr">
        <is>
          <t>Preschool I</t>
        </is>
      </c>
      <c r="E18" s="43" t="inlineStr">
        <is>
          <t>Standalone</t>
        </is>
      </c>
      <c r="F18" s="43" t="n"/>
      <c r="G18" s="43" t="n"/>
      <c r="H18" s="30">
        <f>IF($B18&lt;&gt;"","Asyahlan Hielmy","")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Fahri (Private)</t>
        </is>
      </c>
      <c r="C19" s="30" t="inlineStr">
        <is>
          <t>Private Class</t>
        </is>
      </c>
      <c r="D19" s="30" t="inlineStr">
        <is>
          <t>Beginner I</t>
        </is>
      </c>
      <c r="E19" s="43" t="n"/>
      <c r="F19" s="43" t="n"/>
      <c r="G19" s="43" t="n"/>
      <c r="H19" s="30">
        <f>IF($B19&lt;&gt;"","Asyahlan Hielmy","")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Kennan(Couple Summarecon)</t>
        </is>
      </c>
      <c r="C20" s="30" t="inlineStr">
        <is>
          <t>Couple Class</t>
        </is>
      </c>
      <c r="D20" s="30" t="inlineStr">
        <is>
          <t>Intermediate I</t>
        </is>
      </c>
      <c r="E20" s="43" t="inlineStr">
        <is>
          <t>Standalone</t>
        </is>
      </c>
      <c r="F20" s="43" t="n"/>
      <c r="G20" s="43" t="n"/>
      <c r="H20" s="30">
        <f>IF($B20&lt;&gt;"","Asyahlan Hielmy","")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inlineStr">
        <is>
          <t>Kayvan (Couple Summarecon)</t>
        </is>
      </c>
      <c r="C21" s="30" t="inlineStr">
        <is>
          <t>Couple Class</t>
        </is>
      </c>
      <c r="D21" s="30" t="inlineStr">
        <is>
          <t>Intermediate I</t>
        </is>
      </c>
      <c r="E21" s="43" t="inlineStr">
        <is>
          <t>Standalone</t>
        </is>
      </c>
      <c r="F21" s="43" t="n"/>
      <c r="G21" s="43" t="n"/>
      <c r="H21" s="30">
        <f>IF($B21&lt;&gt;"","Asyahlan Hielmy","")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inlineStr">
        <is>
          <t>Liam (Private</t>
        </is>
      </c>
      <c r="C22" s="30" t="inlineStr">
        <is>
          <t>Private Class</t>
        </is>
      </c>
      <c r="D22" s="30" t="inlineStr">
        <is>
          <t>Beginner I</t>
        </is>
      </c>
      <c r="E22" s="43" t="inlineStr">
        <is>
          <t>Standalone</t>
        </is>
      </c>
      <c r="F22" s="43" t="n"/>
      <c r="G22" s="43" t="n"/>
      <c r="H22" s="30">
        <f>IF($B22&lt;&gt;"","Asyahlan Hielmy","")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inlineStr">
        <is>
          <t>Ken (Private)</t>
        </is>
      </c>
      <c r="C23" s="30" t="inlineStr">
        <is>
          <t>Private Class</t>
        </is>
      </c>
      <c r="D23" s="30" t="inlineStr">
        <is>
          <t>Beginner I</t>
        </is>
      </c>
      <c r="E23" s="43" t="inlineStr">
        <is>
          <t>PA</t>
        </is>
      </c>
      <c r="F23" s="43" t="n"/>
      <c r="G23" s="43" t="n"/>
      <c r="H23" s="30">
        <f>IF($B23&lt;&gt;"","Asyahlan Hielmy","")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inlineStr">
        <is>
          <t>Asha (Group)</t>
        </is>
      </c>
      <c r="C24" s="30" t="inlineStr">
        <is>
          <t>Group Class</t>
        </is>
      </c>
      <c r="D24" s="30" t="inlineStr">
        <is>
          <t>Beginner I</t>
        </is>
      </c>
      <c r="E24" s="43" t="inlineStr">
        <is>
          <t>PA</t>
        </is>
      </c>
      <c r="F24" s="43" t="n"/>
      <c r="G24" s="43" t="n"/>
      <c r="H24" s="30">
        <f>IF($B24&lt;&gt;"","Asyahlan Hielmy","")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inlineStr">
        <is>
          <t>Alya (Group)</t>
        </is>
      </c>
      <c r="C25" s="30" t="inlineStr">
        <is>
          <t>Group Class</t>
        </is>
      </c>
      <c r="D25" s="30" t="inlineStr">
        <is>
          <t>Beginner I</t>
        </is>
      </c>
      <c r="E25" s="43" t="inlineStr">
        <is>
          <t>Standalone</t>
        </is>
      </c>
      <c r="F25" s="43" t="n"/>
      <c r="G25" s="43" t="n"/>
      <c r="H25" s="30">
        <f>IF($B25&lt;&gt;"","Asyahlan Hielmy","")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inlineStr">
        <is>
          <t>Raiq (Group )</t>
        </is>
      </c>
      <c r="C26" s="30" t="inlineStr">
        <is>
          <t>Group Class</t>
        </is>
      </c>
      <c r="D26" s="30" t="inlineStr">
        <is>
          <t>Beginner I</t>
        </is>
      </c>
      <c r="E26" s="43" t="inlineStr">
        <is>
          <t>Standalone</t>
        </is>
      </c>
      <c r="F26" s="43" t="n"/>
      <c r="G26" s="43" t="n"/>
      <c r="H26" s="30">
        <f>IF($B26&lt;&gt;"","Asyahlan Hielmy","")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inlineStr">
        <is>
          <t>Gendis (Group)</t>
        </is>
      </c>
      <c r="C27" s="30" t="inlineStr">
        <is>
          <t>Group Class</t>
        </is>
      </c>
      <c r="D27" s="30" t="inlineStr">
        <is>
          <t>Beginner I</t>
        </is>
      </c>
      <c r="E27" s="43" t="inlineStr">
        <is>
          <t>Standalone</t>
        </is>
      </c>
      <c r="F27" s="43" t="n"/>
      <c r="G27" s="43" t="n"/>
      <c r="H27" s="30">
        <f>IF($B27&lt;&gt;"","Asyahlan Hielmy","")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inlineStr">
        <is>
          <t>Zaid (Swim Therapy)</t>
        </is>
      </c>
      <c r="C28" s="30" t="inlineStr">
        <is>
          <t>Hydrotherapy Class</t>
        </is>
      </c>
      <c r="D28" s="30" t="n"/>
      <c r="E28" s="43" t="n"/>
      <c r="F28" s="43" t="n"/>
      <c r="G28" s="43" t="n"/>
      <c r="H28" s="30">
        <f>IF($B28&lt;&gt;"","Asyahlan Hielmy","")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inlineStr">
        <is>
          <t>Rafanza (Private)</t>
        </is>
      </c>
      <c r="C29" s="30" t="inlineStr">
        <is>
          <t>Private Class</t>
        </is>
      </c>
      <c r="D29" s="30" t="inlineStr">
        <is>
          <t>Aquatike I</t>
        </is>
      </c>
      <c r="E29" s="43" t="inlineStr">
        <is>
          <t>PA</t>
        </is>
      </c>
      <c r="F29" s="43" t="n"/>
      <c r="G29" s="43" t="n"/>
      <c r="H29" s="30">
        <f>IF($B29&lt;&gt;"","Asyahlan Hielmy","")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inlineStr">
        <is>
          <t>Balista</t>
        </is>
      </c>
      <c r="C30" s="30" t="n"/>
      <c r="D30" s="30" t="inlineStr">
        <is>
          <t>Beginner I</t>
        </is>
      </c>
      <c r="E30" s="43" t="inlineStr">
        <is>
          <t>PA</t>
        </is>
      </c>
      <c r="F30" s="43" t="n"/>
      <c r="G30" s="43" t="n"/>
      <c r="H30" s="30">
        <f>IF($B30&lt;&gt;"","Asyahlan Hielmy","")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inlineStr">
        <is>
          <t>Alfath (couple Summarecon)</t>
        </is>
      </c>
      <c r="C31" s="30" t="inlineStr">
        <is>
          <t>Couple Class</t>
        </is>
      </c>
      <c r="D31" s="30" t="inlineStr">
        <is>
          <t>Beginner I</t>
        </is>
      </c>
      <c r="E31" s="43" t="inlineStr">
        <is>
          <t>Standalone</t>
        </is>
      </c>
      <c r="F31" s="43" t="n"/>
      <c r="G31" s="43" t="n"/>
      <c r="H31" s="30">
        <f>IF($B31&lt;&gt;"","Asyahlan Hielmy","")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inlineStr">
        <is>
          <t>Hafidz (couple Summarecon )</t>
        </is>
      </c>
      <c r="C32" s="30" t="inlineStr">
        <is>
          <t>Couple Class</t>
        </is>
      </c>
      <c r="D32" s="30" t="n"/>
      <c r="E32" s="43" t="n"/>
      <c r="F32" s="43" t="n"/>
      <c r="G32" s="43" t="n"/>
      <c r="H32" s="30">
        <f>IF($B32&lt;&gt;"","Asyahlan Hielmy","")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inlineStr">
        <is>
          <t>Banafasha</t>
        </is>
      </c>
      <c r="C33" s="30" t="n"/>
      <c r="D33" s="30" t="n"/>
      <c r="E33" s="43" t="n"/>
      <c r="F33" s="43" t="n"/>
      <c r="G33" s="43" t="n"/>
      <c r="H33" s="30">
        <f>IF($B33&lt;&gt;"","Asyahlan Hielmy","")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inlineStr">
        <is>
          <t>Zevanya</t>
        </is>
      </c>
      <c r="C34" s="30" t="n"/>
      <c r="D34" s="30" t="n"/>
      <c r="E34" s="43" t="n"/>
      <c r="F34" s="43" t="n"/>
      <c r="G34" s="43" t="n"/>
      <c r="H34" s="30">
        <f>IF($B34&lt;&gt;"","Asyahlan Hielmy","")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inlineStr">
        <is>
          <t>Arkyssa</t>
        </is>
      </c>
      <c r="C35" s="30" t="n"/>
      <c r="D35" s="30" t="n"/>
      <c r="E35" s="43" t="n"/>
      <c r="F35" s="43" t="n"/>
      <c r="G35" s="43" t="n"/>
      <c r="H35" s="30">
        <f>IF($B35&lt;&gt;"","Asyahlan Hielmy","")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inlineStr">
        <is>
          <t>kendaru</t>
        </is>
      </c>
      <c r="C36" s="30" t="n"/>
      <c r="D36" s="30" t="n"/>
      <c r="E36" s="43" t="n"/>
      <c r="F36" s="43" t="n"/>
      <c r="G36" s="43" t="n"/>
      <c r="H36" s="30">
        <f>IF($B36&lt;&gt;"","Asyahlan Hielmy","")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IF($B37&lt;&gt;"","Asyahlan Hielmy","")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IF($B38&lt;&gt;"","Asyahlan Hielmy","")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IF($B39&lt;&gt;"","Asyahlan Hielmy","")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IF($B40&lt;&gt;"","Asyahlan Hielmy","")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IF($B41&lt;&gt;"","Asyahlan Hielmy","")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IF($B42&lt;&gt;"","Asyahlan Hielmy","")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IF($B43&lt;&gt;"","Asyahlan Hielmy","")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IF($B44&lt;&gt;"","Asyahlan Hielmy","")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IF($B45&lt;&gt;"","Asyahlan Hielmy","")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IF($B46&lt;&gt;"","Asyahlan Hielmy","")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IF($B47&lt;&gt;"","Asyahlan Hielmy","")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IF($B48&lt;&gt;"","Asyahlan Hielmy","")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IF($B49&lt;&gt;"","Asyahlan Hielmy","")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IF($B50&lt;&gt;"","Asyahlan Hielmy","")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IF($B51&lt;&gt;"","Asyahlan Hielmy","")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IF($B52&lt;&gt;"","Asyahlan Hielmy","")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IF($B53&lt;&gt;"","Asyahlan Hielmy","")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IF($B54&lt;&gt;"","Asyahlan Hielmy","")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Asyira Nur Haida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Risti Dawara Ayudhia</t>
        </is>
      </c>
      <c r="C5" s="30" t="n"/>
      <c r="D5" s="30" t="inlineStr">
        <is>
          <t>Beginner II</t>
        </is>
      </c>
      <c r="E5" s="43" t="inlineStr">
        <is>
          <t>Standalone</t>
        </is>
      </c>
      <c r="F5" s="43" t="n"/>
      <c r="G5" s="43" t="n"/>
      <c r="H5" s="30">
        <f>IF($B5&lt;&gt;"","Asyira Nur Haida","")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Putri Alit Dawara</t>
        </is>
      </c>
      <c r="C6" s="30" t="n"/>
      <c r="D6" s="30" t="inlineStr">
        <is>
          <t>Beginner II</t>
        </is>
      </c>
      <c r="E6" s="43" t="inlineStr">
        <is>
          <t>Standalone</t>
        </is>
      </c>
      <c r="F6" s="43" t="n"/>
      <c r="G6" s="43" t="n"/>
      <c r="H6" s="30">
        <f>IF($B6&lt;&gt;"","Asyira Nur Haida","")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Mutiara Adinda Dawara</t>
        </is>
      </c>
      <c r="C7" s="30" t="n"/>
      <c r="D7" s="30" t="inlineStr">
        <is>
          <t>Beginner I</t>
        </is>
      </c>
      <c r="E7" s="43" t="inlineStr">
        <is>
          <t>Standalone</t>
        </is>
      </c>
      <c r="F7" s="43" t="n"/>
      <c r="G7" s="43" t="n"/>
      <c r="H7" s="30">
        <f>IF($B7&lt;&gt;"","Asyira Nur Haida","")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Callista Nayanika Sudarsono</t>
        </is>
      </c>
      <c r="C8" s="30" t="n"/>
      <c r="D8" s="30" t="inlineStr">
        <is>
          <t>Preschool II</t>
        </is>
      </c>
      <c r="E8" s="43" t="inlineStr">
        <is>
          <t>PA</t>
        </is>
      </c>
      <c r="F8" s="43" t="n"/>
      <c r="G8" s="43" t="n"/>
      <c r="H8" s="30">
        <f>IF($B8&lt;&gt;"","Asyira Nur Haida","")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Prisia Gendis Nugroho</t>
        </is>
      </c>
      <c r="C9" s="30" t="n"/>
      <c r="D9" s="30" t="inlineStr">
        <is>
          <t>Beginner I</t>
        </is>
      </c>
      <c r="E9" s="43" t="inlineStr">
        <is>
          <t>PA</t>
        </is>
      </c>
      <c r="F9" s="43" t="n"/>
      <c r="G9" s="43" t="n"/>
      <c r="H9" s="30">
        <f>IF($B9&lt;&gt;"","Asyira Nur Haida","")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Shafiya Frea Almaira</t>
        </is>
      </c>
      <c r="C10" s="30" t="n"/>
      <c r="D10" s="30" t="inlineStr">
        <is>
          <t>Aquatike I</t>
        </is>
      </c>
      <c r="E10" s="43" t="inlineStr">
        <is>
          <t>PA</t>
        </is>
      </c>
      <c r="F10" s="43" t="n"/>
      <c r="G10" s="43" t="n"/>
      <c r="H10" s="30">
        <f>IF($B10&lt;&gt;"","Asyira Nur Haida","")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Aziela Azzahra</t>
        </is>
      </c>
      <c r="C11" s="30" t="n"/>
      <c r="D11" s="30" t="inlineStr">
        <is>
          <t>Beginner II</t>
        </is>
      </c>
      <c r="E11" s="43" t="inlineStr">
        <is>
          <t>Standalone</t>
        </is>
      </c>
      <c r="F11" s="43" t="n"/>
      <c r="G11" s="43" t="n"/>
      <c r="H11" s="30">
        <f>IF($B11&lt;&gt;"","Asyira Nur Haida","")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Giovanni Anggara Gunawan</t>
        </is>
      </c>
      <c r="C12" s="30" t="n"/>
      <c r="D12" s="30" t="inlineStr">
        <is>
          <t>Preschool I</t>
        </is>
      </c>
      <c r="E12" s="43" t="inlineStr">
        <is>
          <t>PA</t>
        </is>
      </c>
      <c r="F12" s="43" t="n"/>
      <c r="G12" s="43" t="n"/>
      <c r="H12" s="30">
        <f>IF($B12&lt;&gt;"","Asyira Nur Haida","")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n"/>
      <c r="C13" s="30" t="n"/>
      <c r="D13" s="30" t="n"/>
      <c r="E13" s="43" t="n"/>
      <c r="F13" s="43" t="n"/>
      <c r="G13" s="43" t="n"/>
      <c r="H13" s="30">
        <f>IF($B13&lt;&gt;"","Asyira Nur Haida","")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n"/>
      <c r="C14" s="30" t="n"/>
      <c r="D14" s="30" t="n"/>
      <c r="E14" s="43" t="n"/>
      <c r="F14" s="43" t="n"/>
      <c r="G14" s="43" t="n"/>
      <c r="H14" s="30">
        <f>IF($B14&lt;&gt;"","Asyira Nur Haida","")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n"/>
      <c r="C15" s="30" t="n"/>
      <c r="D15" s="30" t="n"/>
      <c r="E15" s="43" t="n"/>
      <c r="F15" s="43" t="n"/>
      <c r="G15" s="43" t="n"/>
      <c r="H15" s="30">
        <f>IF($B15&lt;&gt;"","Asyira Nur Haida","")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IF($B16&lt;&gt;"","Asyira Nur Haida","")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IF($B17&lt;&gt;"","Asyira Nur Haida","")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IF($B18&lt;&gt;"","Asyira Nur Haida","")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IF($B19&lt;&gt;"","Asyira Nur Haida","")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IF($B20&lt;&gt;"","Asyira Nur Haida","")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IF($B21&lt;&gt;"","Asyira Nur Haida","")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IF($B22&lt;&gt;"","Asyira Nur Haida","")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IF($B23&lt;&gt;"","Asyira Nur Haida","")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IF($B24&lt;&gt;"","Asyira Nur Haida","")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IF($B25&lt;&gt;"","Asyira Nur Haida","")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IF($B26&lt;&gt;"","Asyira Nur Haida","")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IF($B27&lt;&gt;"","Asyira Nur Haida","")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IF($B28&lt;&gt;"","Asyira Nur Haida","")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IF($B29&lt;&gt;"","Asyira Nur Haida","")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IF($B30&lt;&gt;"","Asyira Nur Haida","")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IF($B31&lt;&gt;"","Asyira Nur Haida","")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IF($B32&lt;&gt;"","Asyira Nur Haida","")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IF($B33&lt;&gt;"","Asyira Nur Haida","")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IF($B34&lt;&gt;"","Asyira Nur Haida","")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IF($B35&lt;&gt;"","Asyira Nur Haida","")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IF($B36&lt;&gt;"","Asyira Nur Haida","")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IF($B37&lt;&gt;"","Asyira Nur Haida","")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IF($B38&lt;&gt;"","Asyira Nur Haida","")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IF($B39&lt;&gt;"","Asyira Nur Haida","")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IF($B40&lt;&gt;"","Asyira Nur Haida","")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IF($B41&lt;&gt;"","Asyira Nur Haida","")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IF($B42&lt;&gt;"","Asyira Nur Haida","")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IF($B43&lt;&gt;"","Asyira Nur Haida","")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IF($B44&lt;&gt;"","Asyira Nur Haida","")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IF($B45&lt;&gt;"","Asyira Nur Haida","")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IF($B46&lt;&gt;"","Asyira Nur Haida","")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IF($B47&lt;&gt;"","Asyira Nur Haida","")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IF($B48&lt;&gt;"","Asyira Nur Haida","")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IF($B49&lt;&gt;"","Asyira Nur Haida","")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IF($B50&lt;&gt;"","Asyira Nur Haida","")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IF($B51&lt;&gt;"","Asyira Nur Haida","")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IF($B52&lt;&gt;"","Asyira Nur Haida","")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IF($B53&lt;&gt;"","Asyira Nur Haida","")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IF($B54&lt;&gt;"","Asyira Nur Haida","")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Bayu Rizki Alfarizi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Akifa Medina Ahmad</t>
        </is>
      </c>
      <c r="C5" s="30" t="n"/>
      <c r="D5" s="30" t="inlineStr">
        <is>
          <t>Intermediate II</t>
        </is>
      </c>
      <c r="E5" s="43" t="inlineStr">
        <is>
          <t>Standalone</t>
        </is>
      </c>
      <c r="F5" s="43" t="n"/>
      <c r="G5" s="43" t="n"/>
      <c r="H5" s="30">
        <f>IF($B5&lt;&gt;"","Bayu Rizki Alfarizi","")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n"/>
      <c r="C6" s="30" t="n"/>
      <c r="D6" s="30" t="n"/>
      <c r="E6" s="43" t="n"/>
      <c r="F6" s="43" t="n"/>
      <c r="G6" s="43" t="n"/>
      <c r="H6" s="30">
        <f>IF($B6&lt;&gt;"","Bayu Rizki Alfarizi","")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n"/>
      <c r="C7" s="30" t="n"/>
      <c r="D7" s="30" t="n"/>
      <c r="E7" s="43" t="n"/>
      <c r="F7" s="43" t="n"/>
      <c r="G7" s="43" t="n"/>
      <c r="H7" s="30">
        <f>IF($B7&lt;&gt;"","Bayu Rizki Alfarizi","")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n"/>
      <c r="C8" s="30" t="n"/>
      <c r="D8" s="30" t="n"/>
      <c r="E8" s="43" t="n"/>
      <c r="F8" s="43" t="n"/>
      <c r="G8" s="43" t="n"/>
      <c r="H8" s="30">
        <f>IF($B8&lt;&gt;"","Bayu Rizki Alfarizi","")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n"/>
      <c r="C9" s="30" t="n"/>
      <c r="D9" s="30" t="n"/>
      <c r="E9" s="43" t="n"/>
      <c r="F9" s="43" t="n"/>
      <c r="G9" s="43" t="n"/>
      <c r="H9" s="30">
        <f>IF($B9&lt;&gt;"","Bayu Rizki Alfarizi","")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n"/>
      <c r="C10" s="30" t="n"/>
      <c r="D10" s="30" t="n"/>
      <c r="E10" s="43" t="n"/>
      <c r="F10" s="43" t="n"/>
      <c r="G10" s="43" t="n"/>
      <c r="H10" s="30">
        <f>IF($B10&lt;&gt;"","Bayu Rizki Alfarizi","")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n"/>
      <c r="C11" s="30" t="n"/>
      <c r="D11" s="30" t="n"/>
      <c r="E11" s="43" t="n"/>
      <c r="F11" s="43" t="n"/>
      <c r="G11" s="43" t="n"/>
      <c r="H11" s="30">
        <f>IF($B11&lt;&gt;"","Bayu Rizki Alfarizi","")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n"/>
      <c r="C12" s="30" t="n"/>
      <c r="D12" s="30" t="n"/>
      <c r="E12" s="43" t="n"/>
      <c r="F12" s="43" t="n"/>
      <c r="G12" s="43" t="n"/>
      <c r="H12" s="30">
        <f>IF($B12&lt;&gt;"","Bayu Rizki Alfarizi","")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n"/>
      <c r="C13" s="30" t="n"/>
      <c r="D13" s="30" t="n"/>
      <c r="E13" s="43" t="n"/>
      <c r="F13" s="43" t="n"/>
      <c r="G13" s="43" t="n"/>
      <c r="H13" s="30">
        <f>IF($B13&lt;&gt;"","Bayu Rizki Alfarizi","")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n"/>
      <c r="C14" s="30" t="n"/>
      <c r="D14" s="30" t="n"/>
      <c r="E14" s="43" t="n"/>
      <c r="F14" s="43" t="n"/>
      <c r="G14" s="43" t="n"/>
      <c r="H14" s="30">
        <f>IF($B14&lt;&gt;"","Bayu Rizki Alfarizi","")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n"/>
      <c r="C15" s="30" t="n"/>
      <c r="D15" s="30" t="n"/>
      <c r="E15" s="43" t="n"/>
      <c r="F15" s="43" t="n"/>
      <c r="G15" s="43" t="n"/>
      <c r="H15" s="30">
        <f>IF($B15&lt;&gt;"","Bayu Rizki Alfarizi","")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IF($B16&lt;&gt;"","Bayu Rizki Alfarizi","")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IF($B17&lt;&gt;"","Bayu Rizki Alfarizi","")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IF($B18&lt;&gt;"","Bayu Rizki Alfarizi","")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IF($B19&lt;&gt;"","Bayu Rizki Alfarizi","")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IF($B20&lt;&gt;"","Bayu Rizki Alfarizi","")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IF($B21&lt;&gt;"","Bayu Rizki Alfarizi","")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IF($B22&lt;&gt;"","Bayu Rizki Alfarizi","")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IF($B23&lt;&gt;"","Bayu Rizki Alfarizi","")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IF($B24&lt;&gt;"","Bayu Rizki Alfarizi","")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IF($B25&lt;&gt;"","Bayu Rizki Alfarizi","")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IF($B26&lt;&gt;"","Bayu Rizki Alfarizi","")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IF($B27&lt;&gt;"","Bayu Rizki Alfarizi","")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IF($B28&lt;&gt;"","Bayu Rizki Alfarizi","")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IF($B29&lt;&gt;"","Bayu Rizki Alfarizi","")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IF($B30&lt;&gt;"","Bayu Rizki Alfarizi","")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IF($B31&lt;&gt;"","Bayu Rizki Alfarizi","")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IF($B32&lt;&gt;"","Bayu Rizki Alfarizi","")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IF($B33&lt;&gt;"","Bayu Rizki Alfarizi","")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IF($B34&lt;&gt;"","Bayu Rizki Alfarizi","")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IF($B35&lt;&gt;"","Bayu Rizki Alfarizi","")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IF($B36&lt;&gt;"","Bayu Rizki Alfarizi","")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IF($B37&lt;&gt;"","Bayu Rizki Alfarizi","")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IF($B38&lt;&gt;"","Bayu Rizki Alfarizi","")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IF($B39&lt;&gt;"","Bayu Rizki Alfarizi","")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IF($B40&lt;&gt;"","Bayu Rizki Alfarizi","")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IF($B41&lt;&gt;"","Bayu Rizki Alfarizi","")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IF($B42&lt;&gt;"","Bayu Rizki Alfarizi","")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IF($B43&lt;&gt;"","Bayu Rizki Alfarizi","")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IF($B44&lt;&gt;"","Bayu Rizki Alfarizi","")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IF($B45&lt;&gt;"","Bayu Rizki Alfarizi","")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IF($B46&lt;&gt;"","Bayu Rizki Alfarizi","")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IF($B47&lt;&gt;"","Bayu Rizki Alfarizi","")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IF($B48&lt;&gt;"","Bayu Rizki Alfarizi","")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IF($B49&lt;&gt;"","Bayu Rizki Alfarizi","")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IF($B50&lt;&gt;"","Bayu Rizki Alfarizi","")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IF($B51&lt;&gt;"","Bayu Rizki Alfarizi","")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IF($B52&lt;&gt;"","Bayu Rizki Alfarizi","")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IF($B53&lt;&gt;"","Bayu Rizki Alfarizi","")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IF($B54&lt;&gt;"","Bayu Rizki Alfarizi","")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Chandanie Nely Agustin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Ralinka shayna alsavana lubis</t>
        </is>
      </c>
      <c r="C5" s="30" t="n"/>
      <c r="D5" s="30" t="inlineStr">
        <is>
          <t>Preschool I</t>
        </is>
      </c>
      <c r="E5" s="43" t="inlineStr">
        <is>
          <t>Standalone</t>
        </is>
      </c>
      <c r="F5" s="43" t="n"/>
      <c r="G5" s="43" t="n"/>
      <c r="H5" s="30">
        <f>IF($B5&lt;&gt;"","Chandanie Nely Agustin","")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Arunika Hara Patanjala</t>
        </is>
      </c>
      <c r="C6" s="30" t="n"/>
      <c r="D6" s="30" t="inlineStr">
        <is>
          <t>Aquatike III</t>
        </is>
      </c>
      <c r="E6" s="43" t="inlineStr">
        <is>
          <t>Standalone</t>
        </is>
      </c>
      <c r="F6" s="43" t="n"/>
      <c r="G6" s="43" t="n"/>
      <c r="H6" s="30">
        <f>IF($B6&lt;&gt;"","Chandanie Nely Agustin","")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Kaif Rasyid Afkarian</t>
        </is>
      </c>
      <c r="C7" s="30" t="n"/>
      <c r="D7" s="30" t="inlineStr">
        <is>
          <t>Beginner I</t>
        </is>
      </c>
      <c r="E7" s="43" t="inlineStr">
        <is>
          <t>Standalone</t>
        </is>
      </c>
      <c r="F7" s="43" t="n"/>
      <c r="G7" s="43" t="n"/>
      <c r="H7" s="30">
        <f>IF($B7&lt;&gt;"","Chandanie Nely Agustin","")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Hafidzah Kifah</t>
        </is>
      </c>
      <c r="C8" s="30" t="n"/>
      <c r="D8" s="30" t="inlineStr">
        <is>
          <t>Intermediate I</t>
        </is>
      </c>
      <c r="E8" s="43" t="inlineStr">
        <is>
          <t>Standalone</t>
        </is>
      </c>
      <c r="F8" s="43" t="n"/>
      <c r="G8" s="43" t="n"/>
      <c r="H8" s="30">
        <f>IF($B8&lt;&gt;"","Chandanie Nely Agustin","")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Kalea</t>
        </is>
      </c>
      <c r="C9" s="30" t="n"/>
      <c r="D9" s="30" t="inlineStr">
        <is>
          <t>Aquatike I</t>
        </is>
      </c>
      <c r="E9" s="43" t="inlineStr">
        <is>
          <t>Standalone</t>
        </is>
      </c>
      <c r="F9" s="43" t="n"/>
      <c r="G9" s="43" t="n"/>
      <c r="H9" s="30">
        <f>IF($B9&lt;&gt;"","Chandanie Nely Agustin","")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Nayyara Almahyra mecca</t>
        </is>
      </c>
      <c r="C10" s="30" t="n"/>
      <c r="D10" s="30" t="inlineStr">
        <is>
          <t>Preschool I</t>
        </is>
      </c>
      <c r="E10" s="43" t="inlineStr">
        <is>
          <t>Standalone</t>
        </is>
      </c>
      <c r="F10" s="43" t="n"/>
      <c r="G10" s="43" t="n"/>
      <c r="H10" s="30">
        <f>IF($B10&lt;&gt;"","Chandanie Nely Agustin","")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Fabian</t>
        </is>
      </c>
      <c r="C11" s="30" t="n"/>
      <c r="D11" s="30" t="inlineStr">
        <is>
          <t>Beginner I</t>
        </is>
      </c>
      <c r="E11" s="43" t="inlineStr">
        <is>
          <t>Standalone</t>
        </is>
      </c>
      <c r="F11" s="43" t="n"/>
      <c r="G11" s="43" t="n"/>
      <c r="H11" s="30">
        <f>IF($B11&lt;&gt;"","Chandanie Nely Agustin","")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Maryam dita adya</t>
        </is>
      </c>
      <c r="C12" s="30" t="n"/>
      <c r="D12" s="30" t="inlineStr">
        <is>
          <t>Preschool I</t>
        </is>
      </c>
      <c r="E12" s="43" t="inlineStr">
        <is>
          <t>Standalone</t>
        </is>
      </c>
      <c r="F12" s="43" t="n"/>
      <c r="G12" s="43" t="n"/>
      <c r="H12" s="30">
        <f>IF($B12&lt;&gt;"","Chandanie Nely Agustin","")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Kaisya</t>
        </is>
      </c>
      <c r="C13" s="30" t="n"/>
      <c r="D13" s="30" t="inlineStr">
        <is>
          <t>Beginner I</t>
        </is>
      </c>
      <c r="E13" s="43" t="inlineStr">
        <is>
          <t>Standalone</t>
        </is>
      </c>
      <c r="F13" s="43" t="n"/>
      <c r="G13" s="43" t="n"/>
      <c r="H13" s="30">
        <f>IF($B13&lt;&gt;"","Chandanie Nely Agustin","")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Diandra khairunisa</t>
        </is>
      </c>
      <c r="C14" s="30" t="n"/>
      <c r="D14" s="30" t="inlineStr">
        <is>
          <t>Beginner I</t>
        </is>
      </c>
      <c r="E14" s="43" t="inlineStr">
        <is>
          <t>Standalone</t>
        </is>
      </c>
      <c r="F14" s="43" t="n"/>
      <c r="G14" s="43" t="n"/>
      <c r="H14" s="30">
        <f>IF($B14&lt;&gt;"","Chandanie Nely Agustin","")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Sebumi nan damai</t>
        </is>
      </c>
      <c r="C15" s="30" t="n"/>
      <c r="D15" s="30" t="inlineStr">
        <is>
          <t>Preschool I</t>
        </is>
      </c>
      <c r="E15" s="43" t="inlineStr">
        <is>
          <t>Standalone</t>
        </is>
      </c>
      <c r="F15" s="43" t="n"/>
      <c r="G15" s="43" t="n"/>
      <c r="H15" s="30">
        <f>IF($B15&lt;&gt;"","Chandanie Nely Agustin","")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Egriveda Enzilma</t>
        </is>
      </c>
      <c r="C16" s="30" t="n"/>
      <c r="D16" s="30" t="inlineStr">
        <is>
          <t>Preschool I</t>
        </is>
      </c>
      <c r="E16" s="43" t="inlineStr">
        <is>
          <t>Standalone</t>
        </is>
      </c>
      <c r="F16" s="43" t="n"/>
      <c r="G16" s="43" t="n"/>
      <c r="H16" s="30">
        <f>IF($B16&lt;&gt;"","Chandanie Nely Agustin","")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Saabira</t>
        </is>
      </c>
      <c r="C17" s="30" t="n"/>
      <c r="D17" s="30" t="inlineStr">
        <is>
          <t>Preschool I</t>
        </is>
      </c>
      <c r="E17" s="43" t="inlineStr">
        <is>
          <t>Standalone</t>
        </is>
      </c>
      <c r="F17" s="43" t="n"/>
      <c r="G17" s="43" t="n"/>
      <c r="H17" s="30">
        <f>IF($B17&lt;&gt;"","Chandanie Nely Agustin","")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Azka</t>
        </is>
      </c>
      <c r="C18" s="30" t="n"/>
      <c r="D18" s="30" t="inlineStr">
        <is>
          <t>Aquatike I</t>
        </is>
      </c>
      <c r="E18" s="43" t="inlineStr">
        <is>
          <t>PA</t>
        </is>
      </c>
      <c r="F18" s="43" t="n"/>
      <c r="G18" s="43" t="n"/>
      <c r="H18" s="30">
        <f>IF($B18&lt;&gt;"","Chandanie Nely Agustin","")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Gibraneda Naratas Jagat</t>
        </is>
      </c>
      <c r="C19" s="30" t="n"/>
      <c r="D19" s="30" t="inlineStr">
        <is>
          <t>Aquatike I</t>
        </is>
      </c>
      <c r="E19" s="43" t="inlineStr">
        <is>
          <t>PA</t>
        </is>
      </c>
      <c r="F19" s="43" t="n"/>
      <c r="G19" s="43" t="n"/>
      <c r="H19" s="30">
        <f>IF($B19&lt;&gt;"","Chandanie Nely Agustin","")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Naira Azalia Maharani</t>
        </is>
      </c>
      <c r="C20" s="30" t="n"/>
      <c r="D20" s="30" t="inlineStr">
        <is>
          <t>Preschool I</t>
        </is>
      </c>
      <c r="E20" s="43" t="inlineStr">
        <is>
          <t>Standalone</t>
        </is>
      </c>
      <c r="F20" s="43" t="n"/>
      <c r="G20" s="43" t="n"/>
      <c r="H20" s="30">
        <f>IF($B20&lt;&gt;"","Chandanie Nely Agustin","")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inlineStr">
        <is>
          <t>Alesha Putri Sekar Pandan</t>
        </is>
      </c>
      <c r="C21" s="30" t="n"/>
      <c r="D21" s="30" t="inlineStr">
        <is>
          <t>Aquatike I</t>
        </is>
      </c>
      <c r="E21" s="43" t="inlineStr">
        <is>
          <t>Standalone</t>
        </is>
      </c>
      <c r="F21" s="43" t="n"/>
      <c r="G21" s="43" t="n"/>
      <c r="H21" s="30">
        <f>IF($B21&lt;&gt;"","Chandanie Nely Agustin","")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inlineStr">
        <is>
          <t>Athiyah Nurmaulida Alina</t>
        </is>
      </c>
      <c r="C22" s="30" t="n"/>
      <c r="D22" s="30" t="inlineStr">
        <is>
          <t>Preschool I</t>
        </is>
      </c>
      <c r="E22" s="43" t="inlineStr">
        <is>
          <t>Standalone</t>
        </is>
      </c>
      <c r="F22" s="43" t="n"/>
      <c r="G22" s="43" t="n"/>
      <c r="H22" s="30">
        <f>IF($B22&lt;&gt;"","Chandanie Nely Agustin","")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inlineStr">
        <is>
          <t>Aira</t>
        </is>
      </c>
      <c r="C23" s="30" t="n"/>
      <c r="D23" s="30" t="inlineStr">
        <is>
          <t>Preschool I</t>
        </is>
      </c>
      <c r="E23" s="43" t="inlineStr">
        <is>
          <t>Standalone</t>
        </is>
      </c>
      <c r="F23" s="43" t="n"/>
      <c r="G23" s="43" t="n"/>
      <c r="H23" s="30">
        <f>IF($B23&lt;&gt;"","Chandanie Nely Agustin","")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inlineStr">
        <is>
          <t>Shaima Adawizi Shanum</t>
        </is>
      </c>
      <c r="C24" s="30" t="n"/>
      <c r="D24" s="30" t="inlineStr">
        <is>
          <t>Preschool I</t>
        </is>
      </c>
      <c r="E24" s="43" t="inlineStr">
        <is>
          <t>Standalone</t>
        </is>
      </c>
      <c r="F24" s="43" t="n"/>
      <c r="G24" s="43" t="n"/>
      <c r="H24" s="30">
        <f>IF($B24&lt;&gt;"","Chandanie Nely Agustin","")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inlineStr">
        <is>
          <t>Kendis Keinara Anrifa</t>
        </is>
      </c>
      <c r="C25" s="30" t="n"/>
      <c r="D25" s="30" t="inlineStr">
        <is>
          <t>Intermediate I</t>
        </is>
      </c>
      <c r="E25" s="43" t="inlineStr">
        <is>
          <t>Standalone</t>
        </is>
      </c>
      <c r="F25" s="43" t="n"/>
      <c r="G25" s="43" t="n"/>
      <c r="H25" s="30">
        <f>IF($B25&lt;&gt;"","Chandanie Nely Agustin","")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inlineStr">
        <is>
          <t>Hayyin Sabrina Satriadama</t>
        </is>
      </c>
      <c r="C26" s="30" t="n"/>
      <c r="D26" s="30" t="inlineStr">
        <is>
          <t>Preschool I</t>
        </is>
      </c>
      <c r="E26" s="43" t="inlineStr">
        <is>
          <t>Standalone</t>
        </is>
      </c>
      <c r="F26" s="43" t="n"/>
      <c r="G26" s="43" t="n"/>
      <c r="H26" s="30">
        <f>IF($B26&lt;&gt;"","Chandanie Nely Agustin","")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inlineStr">
        <is>
          <t>Lavanya</t>
        </is>
      </c>
      <c r="C27" s="30" t="n"/>
      <c r="D27" s="30" t="inlineStr">
        <is>
          <t>Beginner I</t>
        </is>
      </c>
      <c r="E27" s="43" t="inlineStr">
        <is>
          <t>Standalone</t>
        </is>
      </c>
      <c r="F27" s="43" t="n"/>
      <c r="G27" s="43" t="n"/>
      <c r="H27" s="30">
        <f>IF($B27&lt;&gt;"","Chandanie Nely Agustin","")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inlineStr">
        <is>
          <t>Naomi</t>
        </is>
      </c>
      <c r="C28" s="30" t="n"/>
      <c r="D28" s="30" t="inlineStr">
        <is>
          <t>Preschool I</t>
        </is>
      </c>
      <c r="E28" s="43" t="inlineStr">
        <is>
          <t>Standalone</t>
        </is>
      </c>
      <c r="F28" s="43" t="n"/>
      <c r="G28" s="43" t="n"/>
      <c r="H28" s="30">
        <f>IF($B28&lt;&gt;"","Chandanie Nely Agustin","")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inlineStr">
        <is>
          <t>nichirin</t>
        </is>
      </c>
      <c r="C29" s="30" t="n"/>
      <c r="D29" s="30" t="inlineStr">
        <is>
          <t>Aquatike I</t>
        </is>
      </c>
      <c r="E29" s="43" t="n"/>
      <c r="F29" s="43" t="n"/>
      <c r="G29" s="43" t="n"/>
      <c r="H29" s="30">
        <f>IF($B29&lt;&gt;"","Chandanie Nely Agustin","")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inlineStr">
        <is>
          <t>sabila</t>
        </is>
      </c>
      <c r="C30" s="30" t="n"/>
      <c r="D30" s="30" t="inlineStr">
        <is>
          <t>Aquatike I</t>
        </is>
      </c>
      <c r="E30" s="43" t="n"/>
      <c r="F30" s="43" t="n"/>
      <c r="G30" s="43" t="n"/>
      <c r="H30" s="30">
        <f>IF($B30&lt;&gt;"","Chandanie Nely Agustin","")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inlineStr">
        <is>
          <t>nara</t>
        </is>
      </c>
      <c r="C31" s="30" t="n"/>
      <c r="D31" s="30" t="inlineStr">
        <is>
          <t>Aquatike I</t>
        </is>
      </c>
      <c r="E31" s="43" t="n"/>
      <c r="F31" s="43" t="n"/>
      <c r="G31" s="43" t="n"/>
      <c r="H31" s="30">
        <f>IF($B31&lt;&gt;"","Chandanie Nely Agustin","")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IF($B32&lt;&gt;"","Chandanie Nely Agustin","")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IF($B33&lt;&gt;"","Chandanie Nely Agustin","")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IF($B34&lt;&gt;"","Chandanie Nely Agustin","")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IF($B35&lt;&gt;"","Chandanie Nely Agustin","")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IF($B36&lt;&gt;"","Chandanie Nely Agustin","")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IF($B37&lt;&gt;"","Chandanie Nely Agustin","")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IF($B38&lt;&gt;"","Chandanie Nely Agustin","")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IF($B39&lt;&gt;"","Chandanie Nely Agustin","")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IF($B40&lt;&gt;"","Chandanie Nely Agustin","")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IF($B41&lt;&gt;"","Chandanie Nely Agustin","")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IF($B42&lt;&gt;"","Chandanie Nely Agustin","")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IF($B43&lt;&gt;"","Chandanie Nely Agustin","")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IF($B44&lt;&gt;"","Chandanie Nely Agustin","")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IF($B45&lt;&gt;"","Chandanie Nely Agustin","")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IF($B46&lt;&gt;"","Chandanie Nely Agustin","")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IF($B47&lt;&gt;"","Chandanie Nely Agustin","")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IF($B48&lt;&gt;"","Chandanie Nely Agustin","")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IF($B49&lt;&gt;"","Chandanie Nely Agustin","")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IF($B50&lt;&gt;"","Chandanie Nely Agustin","")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IF($B51&lt;&gt;"","Chandanie Nely Agustin","")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IF($B52&lt;&gt;"","Chandanie Nely Agustin","")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IF($B53&lt;&gt;"","Chandanie Nely Agustin","")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IF($B54&lt;&gt;"","Chandanie Nely Agustin","")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Dida Zein Risty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Syakira Khansa Iskandar</t>
        </is>
      </c>
      <c r="C5" s="30" t="n"/>
      <c r="D5" s="30" t="inlineStr">
        <is>
          <t>Swim Team Prep</t>
        </is>
      </c>
      <c r="E5" s="43" t="inlineStr">
        <is>
          <t>Standalone</t>
        </is>
      </c>
      <c r="F5" s="43" t="n"/>
      <c r="G5" s="43" t="n"/>
      <c r="H5" s="30">
        <f>IF($B5&lt;&gt;"","Dida Zein Risty","")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Syakila Nesha Iskandar</t>
        </is>
      </c>
      <c r="C6" s="30" t="n"/>
      <c r="D6" s="30" t="inlineStr">
        <is>
          <t>Swim Team Prep</t>
        </is>
      </c>
      <c r="E6" s="43" t="inlineStr">
        <is>
          <t>Standalone</t>
        </is>
      </c>
      <c r="F6" s="43" t="n"/>
      <c r="G6" s="43" t="n"/>
      <c r="H6" s="30">
        <f>IF($B6&lt;&gt;"","Dida Zein Risty","")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Alma Yuki Zaina</t>
        </is>
      </c>
      <c r="C7" s="30" t="n"/>
      <c r="D7" s="30" t="inlineStr">
        <is>
          <t>Beginner III</t>
        </is>
      </c>
      <c r="E7" s="43" t="inlineStr">
        <is>
          <t>PA</t>
        </is>
      </c>
      <c r="F7" s="43" t="n"/>
      <c r="G7" s="43" t="n"/>
      <c r="H7" s="30">
        <f>IF($B7&lt;&gt;"","Dida Zein Risty","")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Beyza Ruchika Kaureen</t>
        </is>
      </c>
      <c r="C8" s="30" t="n"/>
      <c r="D8" s="30" t="inlineStr">
        <is>
          <t>Aquatike I</t>
        </is>
      </c>
      <c r="E8" s="43" t="inlineStr">
        <is>
          <t>PA</t>
        </is>
      </c>
      <c r="F8" s="43" t="n"/>
      <c r="G8" s="43" t="n"/>
      <c r="H8" s="30">
        <f>IF($B8&lt;&gt;"","Dida Zein Risty","")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Aurora Shabira Hidayatri</t>
        </is>
      </c>
      <c r="C9" s="30" t="n"/>
      <c r="D9" s="30" t="inlineStr">
        <is>
          <t>Preschool I</t>
        </is>
      </c>
      <c r="E9" s="43" t="inlineStr">
        <is>
          <t>PA</t>
        </is>
      </c>
      <c r="F9" s="43" t="n"/>
      <c r="G9" s="43" t="n"/>
      <c r="H9" s="30">
        <f>IF($B9&lt;&gt;"","Dida Zein Risty","")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Aretha Zayyana Putri A</t>
        </is>
      </c>
      <c r="C10" s="30" t="n"/>
      <c r="D10" s="30" t="inlineStr">
        <is>
          <t>Beginner I</t>
        </is>
      </c>
      <c r="E10" s="43" t="inlineStr">
        <is>
          <t>PA</t>
        </is>
      </c>
      <c r="F10" s="43" t="n"/>
      <c r="G10" s="43" t="n"/>
      <c r="H10" s="30">
        <f>IF($B10&lt;&gt;"","Dida Zein Risty","")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Kayyisa Kirana Yusuf</t>
        </is>
      </c>
      <c r="C11" s="30" t="n"/>
      <c r="D11" s="30" t="inlineStr">
        <is>
          <t>Beginner I</t>
        </is>
      </c>
      <c r="E11" s="43" t="inlineStr">
        <is>
          <t>PA</t>
        </is>
      </c>
      <c r="F11" s="43" t="n"/>
      <c r="G11" s="43" t="n"/>
      <c r="H11" s="30">
        <f>IF($B11&lt;&gt;"","Dida Zein Risty","")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Fathin Ramadhaniah Azhari</t>
        </is>
      </c>
      <c r="C12" s="30" t="n"/>
      <c r="D12" s="30" t="inlineStr">
        <is>
          <t>Beginner I</t>
        </is>
      </c>
      <c r="E12" s="43" t="inlineStr">
        <is>
          <t>PA</t>
        </is>
      </c>
      <c r="F12" s="43" t="n"/>
      <c r="G12" s="43" t="n"/>
      <c r="H12" s="30">
        <f>IF($B12&lt;&gt;"","Dida Zein Risty","")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Fadhlan Ahmad Ramadhan</t>
        </is>
      </c>
      <c r="C13" s="30" t="n"/>
      <c r="D13" s="30" t="inlineStr">
        <is>
          <t>Swim Team Prep</t>
        </is>
      </c>
      <c r="E13" s="43" t="inlineStr">
        <is>
          <t>Standalone</t>
        </is>
      </c>
      <c r="F13" s="43" t="n"/>
      <c r="G13" s="43" t="n"/>
      <c r="H13" s="30">
        <f>IF($B13&lt;&gt;"","Dida Zein Risty","")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Dzakirul Abyan Al-Hazim</t>
        </is>
      </c>
      <c r="C14" s="30" t="n"/>
      <c r="D14" s="30" t="inlineStr">
        <is>
          <t>Swim Team Prep</t>
        </is>
      </c>
      <c r="E14" s="43" t="inlineStr">
        <is>
          <t>Standalone</t>
        </is>
      </c>
      <c r="F14" s="43" t="n"/>
      <c r="G14" s="43" t="n"/>
      <c r="H14" s="30">
        <f>IF($B14&lt;&gt;"","Dida Zein Risty","")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Almatiara Syifaa Firmansyah</t>
        </is>
      </c>
      <c r="C15" s="30" t="n"/>
      <c r="D15" s="30" t="inlineStr">
        <is>
          <t>Preschool I</t>
        </is>
      </c>
      <c r="E15" s="43" t="inlineStr">
        <is>
          <t>PA</t>
        </is>
      </c>
      <c r="F15" s="43" t="n"/>
      <c r="G15" s="43" t="n"/>
      <c r="H15" s="30">
        <f>IF($B15&lt;&gt;"","Dida Zein Risty","")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Dyra Arummy</t>
        </is>
      </c>
      <c r="C16" s="30" t="n"/>
      <c r="D16" s="30" t="inlineStr">
        <is>
          <t>Beginner III</t>
        </is>
      </c>
      <c r="E16" s="43" t="inlineStr">
        <is>
          <t>PA</t>
        </is>
      </c>
      <c r="F16" s="43" t="n"/>
      <c r="G16" s="43" t="n"/>
      <c r="H16" s="30">
        <f>IF($B16&lt;&gt;"","Dida Zein Risty","")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Marsha Zebina Richsan</t>
        </is>
      </c>
      <c r="C17" s="30" t="n"/>
      <c r="D17" s="30" t="inlineStr">
        <is>
          <t>Beginner III</t>
        </is>
      </c>
      <c r="E17" s="43" t="inlineStr">
        <is>
          <t>PA</t>
        </is>
      </c>
      <c r="F17" s="43" t="n"/>
      <c r="G17" s="43" t="n"/>
      <c r="H17" s="30">
        <f>IF($B17&lt;&gt;"","Dida Zein Risty","")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Nesya Maheswari</t>
        </is>
      </c>
      <c r="C18" s="30" t="n"/>
      <c r="D18" s="30" t="inlineStr">
        <is>
          <t>Beginner I</t>
        </is>
      </c>
      <c r="E18" s="43" t="inlineStr">
        <is>
          <t>PA</t>
        </is>
      </c>
      <c r="F18" s="43" t="n"/>
      <c r="G18" s="43" t="n"/>
      <c r="H18" s="30">
        <f>IF($B18&lt;&gt;"","Dida Zein Risty","")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Aleena Sadeeqa Maheooba</t>
        </is>
      </c>
      <c r="C19" s="30" t="n"/>
      <c r="D19" s="30" t="inlineStr">
        <is>
          <t>Beginner I</t>
        </is>
      </c>
      <c r="E19" s="43" t="inlineStr">
        <is>
          <t>PA</t>
        </is>
      </c>
      <c r="F19" s="43" t="n"/>
      <c r="G19" s="43" t="n"/>
      <c r="H19" s="30">
        <f>IF($B19&lt;&gt;"","Dida Zein Risty","")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Sharna saqeenarava ananta</t>
        </is>
      </c>
      <c r="C20" s="30" t="n"/>
      <c r="D20" s="30" t="inlineStr">
        <is>
          <t>Beginner I</t>
        </is>
      </c>
      <c r="E20" s="43" t="inlineStr">
        <is>
          <t>PA</t>
        </is>
      </c>
      <c r="F20" s="43" t="n"/>
      <c r="G20" s="43" t="n"/>
      <c r="H20" s="30">
        <f>IF($B20&lt;&gt;"","Dida Zein Risty","")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IF($B21&lt;&gt;"","Dida Zein Risty","")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IF($B22&lt;&gt;"","Dida Zein Risty","")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IF($B23&lt;&gt;"","Dida Zein Risty","")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IF($B24&lt;&gt;"","Dida Zein Risty","")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IF($B25&lt;&gt;"","Dida Zein Risty","")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IF($B26&lt;&gt;"","Dida Zein Risty","")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IF($B27&lt;&gt;"","Dida Zein Risty","")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IF($B28&lt;&gt;"","Dida Zein Risty","")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IF($B29&lt;&gt;"","Dida Zein Risty","")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IF($B30&lt;&gt;"","Dida Zein Risty","")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IF($B31&lt;&gt;"","Dida Zein Risty","")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IF($B32&lt;&gt;"","Dida Zein Risty","")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IF($B33&lt;&gt;"","Dida Zein Risty","")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IF($B34&lt;&gt;"","Dida Zein Risty","")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IF($B35&lt;&gt;"","Dida Zein Risty","")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IF($B36&lt;&gt;"","Dida Zein Risty","")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IF($B37&lt;&gt;"","Dida Zein Risty","")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IF($B38&lt;&gt;"","Dida Zein Risty","")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IF($B39&lt;&gt;"","Dida Zein Risty","")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IF($B40&lt;&gt;"","Dida Zein Risty","")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IF($B41&lt;&gt;"","Dida Zein Risty","")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IF($B42&lt;&gt;"","Dida Zein Risty","")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IF($B43&lt;&gt;"","Dida Zein Risty","")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IF($B44&lt;&gt;"","Dida Zein Risty","")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IF($B45&lt;&gt;"","Dida Zein Risty","")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IF($B46&lt;&gt;"","Dida Zein Risty","")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IF($B47&lt;&gt;"","Dida Zein Risty","")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IF($B48&lt;&gt;"","Dida Zein Risty","")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IF($B49&lt;&gt;"","Dida Zein Risty","")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IF($B50&lt;&gt;"","Dida Zein Risty","")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IF($B51&lt;&gt;"","Dida Zein Risty","")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IF($B52&lt;&gt;"","Dida Zein Risty","")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IF($B53&lt;&gt;"","Dida Zein Risty","")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IF($B54&lt;&gt;"","Dida Zein Risty","")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Fadil Rijatul Haq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Muhammad Baraja</t>
        </is>
      </c>
      <c r="C5" s="30" t="n"/>
      <c r="D5" s="30" t="inlineStr">
        <is>
          <t>Aquatike I</t>
        </is>
      </c>
      <c r="E5" s="43" t="inlineStr">
        <is>
          <t>Standalone</t>
        </is>
      </c>
      <c r="F5" s="43" t="n"/>
      <c r="G5" s="43" t="n"/>
      <c r="H5" s="30">
        <f>IF($B5&lt;&gt;"","Fadil Rijatul Haq","")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Muammar Maliqi Hidayat</t>
        </is>
      </c>
      <c r="C6" s="30" t="n"/>
      <c r="D6" s="30" t="inlineStr">
        <is>
          <t>Aquatike I</t>
        </is>
      </c>
      <c r="E6" s="43" t="inlineStr">
        <is>
          <t>Standalone</t>
        </is>
      </c>
      <c r="F6" s="43" t="n"/>
      <c r="G6" s="43" t="n"/>
      <c r="H6" s="30">
        <f>IF($B6&lt;&gt;"","Fadil Rijatul Haq","")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Emirza Abyan Rusman</t>
        </is>
      </c>
      <c r="C7" s="30" t="n"/>
      <c r="D7" s="30" t="inlineStr">
        <is>
          <t>Preschool I</t>
        </is>
      </c>
      <c r="E7" s="43" t="inlineStr">
        <is>
          <t>Standalone</t>
        </is>
      </c>
      <c r="F7" s="43" t="n"/>
      <c r="G7" s="43" t="n"/>
      <c r="H7" s="30">
        <f>IF($B7&lt;&gt;"","Fadil Rijatul Haq","")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Alfatih Sakti Marantika</t>
        </is>
      </c>
      <c r="C8" s="30" t="n"/>
      <c r="D8" s="30" t="inlineStr">
        <is>
          <t>Beginner II</t>
        </is>
      </c>
      <c r="E8" s="43" t="inlineStr">
        <is>
          <t>Standalone</t>
        </is>
      </c>
      <c r="F8" s="43" t="n"/>
      <c r="G8" s="43" t="n"/>
      <c r="H8" s="30">
        <f>IF($B8&lt;&gt;"","Fadil Rijatul Haq","")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Yehezkiel Valentino Simarmata</t>
        </is>
      </c>
      <c r="C9" s="30" t="n"/>
      <c r="D9" s="30" t="inlineStr">
        <is>
          <t>Preschool I</t>
        </is>
      </c>
      <c r="E9" s="43" t="inlineStr">
        <is>
          <t>Standalone</t>
        </is>
      </c>
      <c r="F9" s="43" t="n"/>
      <c r="G9" s="43" t="n"/>
      <c r="H9" s="30">
        <f>IF($B9&lt;&gt;"","Fadil Rijatul Haq","")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Muhamad Avatar Saputra</t>
        </is>
      </c>
      <c r="C10" s="30" t="n"/>
      <c r="D10" s="30" t="inlineStr">
        <is>
          <t>Beginner I</t>
        </is>
      </c>
      <c r="E10" s="43" t="inlineStr">
        <is>
          <t>Standalone</t>
        </is>
      </c>
      <c r="F10" s="43" t="n"/>
      <c r="G10" s="43" t="n"/>
      <c r="H10" s="30">
        <f>IF($B10&lt;&gt;"","Fadil Rijatul Haq","")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Nevan Fabian Ar Rayan</t>
        </is>
      </c>
      <c r="C11" s="30" t="n"/>
      <c r="D11" s="30" t="inlineStr">
        <is>
          <t>Beginner I</t>
        </is>
      </c>
      <c r="E11" s="43" t="inlineStr">
        <is>
          <t>Standalone</t>
        </is>
      </c>
      <c r="F11" s="43" t="n"/>
      <c r="G11" s="43" t="n"/>
      <c r="H11" s="30">
        <f>IF($B11&lt;&gt;"","Fadil Rijatul Haq","")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Sabam Sean Simarmata</t>
        </is>
      </c>
      <c r="C12" s="30" t="n"/>
      <c r="D12" s="30" t="inlineStr">
        <is>
          <t>Beginner I</t>
        </is>
      </c>
      <c r="E12" s="43" t="inlineStr">
        <is>
          <t>Standalone</t>
        </is>
      </c>
      <c r="F12" s="43" t="n"/>
      <c r="G12" s="43" t="n"/>
      <c r="H12" s="30">
        <f>IF($B12&lt;&gt;"","Fadil Rijatul Haq","")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Josaphat Dewananda Surya</t>
        </is>
      </c>
      <c r="C13" s="30" t="n"/>
      <c r="D13" s="30" t="inlineStr">
        <is>
          <t>Preschool I</t>
        </is>
      </c>
      <c r="E13" s="43" t="inlineStr">
        <is>
          <t>Standalone</t>
        </is>
      </c>
      <c r="F13" s="43" t="n"/>
      <c r="G13" s="43" t="n"/>
      <c r="H13" s="30">
        <f>IF($B13&lt;&gt;"","Fadil Rijatul Haq","")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Leonard Gavriel Marcello</t>
        </is>
      </c>
      <c r="C14" s="30" t="n"/>
      <c r="D14" s="30" t="inlineStr">
        <is>
          <t>Preschool I</t>
        </is>
      </c>
      <c r="E14" s="43" t="inlineStr">
        <is>
          <t>Standalone</t>
        </is>
      </c>
      <c r="F14" s="43" t="n"/>
      <c r="G14" s="43" t="n"/>
      <c r="H14" s="30">
        <f>IF($B14&lt;&gt;"","Fadil Rijatul Haq","")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Adnan Sakhi Nugraha</t>
        </is>
      </c>
      <c r="C15" s="30" t="n"/>
      <c r="D15" s="30" t="inlineStr">
        <is>
          <t>Preschool I</t>
        </is>
      </c>
      <c r="E15" s="43" t="inlineStr">
        <is>
          <t>Standalone</t>
        </is>
      </c>
      <c r="F15" s="43" t="n"/>
      <c r="G15" s="43" t="n"/>
      <c r="H15" s="30">
        <f>IF($B15&lt;&gt;"","Fadil Rijatul Haq","")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Nathanliam Gavriel Napitupulu</t>
        </is>
      </c>
      <c r="C16" s="30" t="n"/>
      <c r="D16" s="30" t="inlineStr">
        <is>
          <t>Intermediate II</t>
        </is>
      </c>
      <c r="E16" s="43" t="inlineStr">
        <is>
          <t>Standalone</t>
        </is>
      </c>
      <c r="F16" s="43" t="n"/>
      <c r="G16" s="43" t="n"/>
      <c r="H16" s="30">
        <f>IF($B16&lt;&gt;"","Fadil Rijatul Haq","")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Athafariz Haikal Rafif</t>
        </is>
      </c>
      <c r="C17" s="30" t="n"/>
      <c r="D17" s="30" t="inlineStr">
        <is>
          <t>Beginner I</t>
        </is>
      </c>
      <c r="E17" s="43" t="inlineStr">
        <is>
          <t>Standalone</t>
        </is>
      </c>
      <c r="F17" s="43" t="n"/>
      <c r="G17" s="43" t="n"/>
      <c r="H17" s="30">
        <f>IF($B17&lt;&gt;"","Fadil Rijatul Haq","")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IF($B18&lt;&gt;"","Fadil Rijatul Haq","")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IF($B19&lt;&gt;"","Fadil Rijatul Haq","")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IF($B20&lt;&gt;"","Fadil Rijatul Haq","")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IF($B21&lt;&gt;"","Fadil Rijatul Haq","")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IF($B22&lt;&gt;"","Fadil Rijatul Haq","")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IF($B23&lt;&gt;"","Fadil Rijatul Haq","")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IF($B24&lt;&gt;"","Fadil Rijatul Haq","")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IF($B25&lt;&gt;"","Fadil Rijatul Haq","")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IF($B26&lt;&gt;"","Fadil Rijatul Haq","")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IF($B27&lt;&gt;"","Fadil Rijatul Haq","")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IF($B28&lt;&gt;"","Fadil Rijatul Haq","")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IF($B29&lt;&gt;"","Fadil Rijatul Haq","")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IF($B30&lt;&gt;"","Fadil Rijatul Haq","")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IF($B31&lt;&gt;"","Fadil Rijatul Haq","")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IF($B32&lt;&gt;"","Fadil Rijatul Haq","")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IF($B33&lt;&gt;"","Fadil Rijatul Haq","")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IF($B34&lt;&gt;"","Fadil Rijatul Haq","")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IF($B35&lt;&gt;"","Fadil Rijatul Haq","")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IF($B36&lt;&gt;"","Fadil Rijatul Haq","")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IF($B37&lt;&gt;"","Fadil Rijatul Haq","")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IF($B38&lt;&gt;"","Fadil Rijatul Haq","")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IF($B39&lt;&gt;"","Fadil Rijatul Haq","")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IF($B40&lt;&gt;"","Fadil Rijatul Haq","")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IF($B41&lt;&gt;"","Fadil Rijatul Haq","")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IF($B42&lt;&gt;"","Fadil Rijatul Haq","")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IF($B43&lt;&gt;"","Fadil Rijatul Haq","")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IF($B44&lt;&gt;"","Fadil Rijatul Haq","")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IF($B45&lt;&gt;"","Fadil Rijatul Haq","")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IF($B46&lt;&gt;"","Fadil Rijatul Haq","")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IF($B47&lt;&gt;"","Fadil Rijatul Haq","")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IF($B48&lt;&gt;"","Fadil Rijatul Haq","")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IF($B49&lt;&gt;"","Fadil Rijatul Haq","")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IF($B50&lt;&gt;"","Fadil Rijatul Haq","")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IF($B51&lt;&gt;"","Fadil Rijatul Haq","")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IF($B52&lt;&gt;"","Fadil Rijatul Haq","")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IF($B53&lt;&gt;"","Fadil Rijatul Haq","")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IF($B54&lt;&gt;"","Fadil Rijatul Haq","")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Faega Fitriani Dwi Putri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Ahza Rumaisa Prawesty</t>
        </is>
      </c>
      <c r="C5" s="30" t="n"/>
      <c r="D5" s="30" t="inlineStr">
        <is>
          <t>Preschool II</t>
        </is>
      </c>
      <c r="E5" s="43" t="inlineStr">
        <is>
          <t>PA</t>
        </is>
      </c>
      <c r="F5" s="43" t="n"/>
      <c r="G5" s="43" t="n"/>
      <c r="H5" s="30">
        <f>IF($B5&lt;&gt;"","Faega Fitriani Dwi Putri","")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Klarissa Syamei Pahlani</t>
        </is>
      </c>
      <c r="C6" s="30" t="n"/>
      <c r="D6" s="30" t="inlineStr">
        <is>
          <t>Preschool I</t>
        </is>
      </c>
      <c r="E6" s="43" t="inlineStr">
        <is>
          <t>PA</t>
        </is>
      </c>
      <c r="F6" s="43" t="n"/>
      <c r="G6" s="43" t="n"/>
      <c r="H6" s="30">
        <f>IF($B6&lt;&gt;"","Faega Fitriani Dwi Putri","")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Elvaretta Karina Noristian</t>
        </is>
      </c>
      <c r="C7" s="30" t="n"/>
      <c r="D7" s="30" t="inlineStr">
        <is>
          <t>Intermediate II</t>
        </is>
      </c>
      <c r="E7" s="43" t="inlineStr">
        <is>
          <t>Standalone</t>
        </is>
      </c>
      <c r="F7" s="43" t="n"/>
      <c r="G7" s="43" t="n"/>
      <c r="H7" s="30">
        <f>IF($B7&lt;&gt;"","Faega Fitriani Dwi Putri","")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Aysha Adzkiya</t>
        </is>
      </c>
      <c r="C8" s="30" t="n"/>
      <c r="D8" s="30" t="inlineStr">
        <is>
          <t>Aquatike II</t>
        </is>
      </c>
      <c r="E8" s="43" t="inlineStr">
        <is>
          <t>PA</t>
        </is>
      </c>
      <c r="F8" s="43" t="n"/>
      <c r="G8" s="43" t="n"/>
      <c r="H8" s="30">
        <f>IF($B8&lt;&gt;"","Faega Fitriani Dwi Putri","")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Alula Khaliqa Dzahim</t>
        </is>
      </c>
      <c r="C9" s="30" t="n"/>
      <c r="D9" s="30" t="inlineStr">
        <is>
          <t>Advanced I</t>
        </is>
      </c>
      <c r="E9" s="43" t="inlineStr">
        <is>
          <t>Standalone</t>
        </is>
      </c>
      <c r="F9" s="43" t="n"/>
      <c r="G9" s="43" t="n"/>
      <c r="H9" s="30">
        <f>IF($B9&lt;&gt;"","Faega Fitriani Dwi Putri","")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Manggala Nabil Aqla</t>
        </is>
      </c>
      <c r="C10" s="30" t="n"/>
      <c r="D10" s="30" t="inlineStr">
        <is>
          <t>Intermediate I</t>
        </is>
      </c>
      <c r="E10" s="43" t="inlineStr">
        <is>
          <t>PA</t>
        </is>
      </c>
      <c r="F10" s="43" t="n"/>
      <c r="G10" s="43" t="n"/>
      <c r="H10" s="30">
        <f>IF($B10&lt;&gt;"","Faega Fitriani Dwi Putri","")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Ellmir Khalil Muazzam</t>
        </is>
      </c>
      <c r="C11" s="30" t="n"/>
      <c r="D11" s="30" t="inlineStr">
        <is>
          <t>Preschool I</t>
        </is>
      </c>
      <c r="E11" s="43" t="inlineStr">
        <is>
          <t>PA</t>
        </is>
      </c>
      <c r="F11" s="43" t="n"/>
      <c r="G11" s="43" t="n"/>
      <c r="H11" s="30">
        <f>IF($B11&lt;&gt;"","Faega Fitriani Dwi Putri","")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Raya Kaira Mujtaba</t>
        </is>
      </c>
      <c r="C12" s="30" t="n"/>
      <c r="D12" s="30" t="inlineStr">
        <is>
          <t>Beginner I</t>
        </is>
      </c>
      <c r="E12" s="43" t="inlineStr">
        <is>
          <t>PA</t>
        </is>
      </c>
      <c r="F12" s="43" t="n"/>
      <c r="G12" s="43" t="n"/>
      <c r="H12" s="30">
        <f>IF($B12&lt;&gt;"","Faega Fitriani Dwi Putri","")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Sarah Diandra Kirana</t>
        </is>
      </c>
      <c r="C13" s="30" t="n"/>
      <c r="D13" s="30" t="inlineStr">
        <is>
          <t>Intermediate II</t>
        </is>
      </c>
      <c r="E13" s="43" t="inlineStr">
        <is>
          <t>Standalone</t>
        </is>
      </c>
      <c r="F13" s="43" t="n"/>
      <c r="G13" s="43" t="n"/>
      <c r="H13" s="30">
        <f>IF($B13&lt;&gt;"","Faega Fitriani Dwi Putri","")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Tranquilia Syifa Handriana</t>
        </is>
      </c>
      <c r="C14" s="30" t="n"/>
      <c r="D14" s="30" t="inlineStr">
        <is>
          <t>Advanced II</t>
        </is>
      </c>
      <c r="E14" s="43" t="inlineStr">
        <is>
          <t>Standalone</t>
        </is>
      </c>
      <c r="F14" s="43" t="n"/>
      <c r="G14" s="43" t="n"/>
      <c r="H14" s="30">
        <f>IF($B14&lt;&gt;"","Faega Fitriani Dwi Putri","")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Syarifah Muscarida Handriana</t>
        </is>
      </c>
      <c r="C15" s="30" t="n"/>
      <c r="D15" s="30" t="inlineStr">
        <is>
          <t>Beginner II</t>
        </is>
      </c>
      <c r="E15" s="43" t="inlineStr">
        <is>
          <t>PA</t>
        </is>
      </c>
      <c r="F15" s="43" t="n"/>
      <c r="G15" s="43" t="n"/>
      <c r="H15" s="30">
        <f>IF($B15&lt;&gt;"","Faega Fitriani Dwi Putri","")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Abdillah Muhammad Salahuddin Handria</t>
        </is>
      </c>
      <c r="C16" s="30" t="n"/>
      <c r="D16" s="30" t="inlineStr">
        <is>
          <t>Beginner I</t>
        </is>
      </c>
      <c r="E16" s="43" t="inlineStr">
        <is>
          <t>PA</t>
        </is>
      </c>
      <c r="F16" s="43" t="n"/>
      <c r="G16" s="43" t="n"/>
      <c r="H16" s="30">
        <f>IF($B16&lt;&gt;"","Faega Fitriani Dwi Putri","")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Muhammad Nouman Khalid Handria</t>
        </is>
      </c>
      <c r="C17" s="30" t="n"/>
      <c r="D17" s="30" t="inlineStr">
        <is>
          <t>Aquatike I</t>
        </is>
      </c>
      <c r="E17" s="43" t="inlineStr">
        <is>
          <t>PA</t>
        </is>
      </c>
      <c r="F17" s="43" t="n"/>
      <c r="G17" s="43" t="n"/>
      <c r="H17" s="30">
        <f>IF($B17&lt;&gt;"","Faega Fitriani Dwi Putri","")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Btari Alika Nazma W</t>
        </is>
      </c>
      <c r="C18" s="30" t="inlineStr">
        <is>
          <t>Baby Swim</t>
        </is>
      </c>
      <c r="D18" s="30" t="inlineStr">
        <is>
          <t>Baby Swim II</t>
        </is>
      </c>
      <c r="E18" s="43" t="inlineStr">
        <is>
          <t>PA</t>
        </is>
      </c>
      <c r="F18" s="43" t="n"/>
      <c r="G18" s="43" t="n"/>
      <c r="H18" s="30">
        <f>IF($B18&lt;&gt;"","Faega Fitriani Dwi Putri","")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Sheza Syera Kailazea</t>
        </is>
      </c>
      <c r="C19" s="30" t="n"/>
      <c r="D19" s="30" t="inlineStr">
        <is>
          <t>Preschool I</t>
        </is>
      </c>
      <c r="E19" s="43" t="inlineStr">
        <is>
          <t>PA</t>
        </is>
      </c>
      <c r="F19" s="43" t="n"/>
      <c r="G19" s="43" t="n"/>
      <c r="H19" s="30">
        <f>IF($B19&lt;&gt;"","Faega Fitriani Dwi Putri","")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Afifah Nasha Hamidah</t>
        </is>
      </c>
      <c r="C20" s="30" t="n"/>
      <c r="D20" s="30" t="inlineStr">
        <is>
          <t>Beginner I</t>
        </is>
      </c>
      <c r="E20" s="43" t="inlineStr">
        <is>
          <t>PA</t>
        </is>
      </c>
      <c r="F20" s="43" t="n"/>
      <c r="G20" s="43" t="n"/>
      <c r="H20" s="30">
        <f>IF($B20&lt;&gt;"","Faega Fitriani Dwi Putri","")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IF($B21&lt;&gt;"","Faega Fitriani Dwi Putri","")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IF($B22&lt;&gt;"","Faega Fitriani Dwi Putri","")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IF($B23&lt;&gt;"","Faega Fitriani Dwi Putri","")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IF($B24&lt;&gt;"","Faega Fitriani Dwi Putri","")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IF($B25&lt;&gt;"","Faega Fitriani Dwi Putri","")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IF($B26&lt;&gt;"","Faega Fitriani Dwi Putri","")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IF($B27&lt;&gt;"","Faega Fitriani Dwi Putri","")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IF($B28&lt;&gt;"","Faega Fitriani Dwi Putri","")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IF($B29&lt;&gt;"","Faega Fitriani Dwi Putri","")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IF($B30&lt;&gt;"","Faega Fitriani Dwi Putri","")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IF($B31&lt;&gt;"","Faega Fitriani Dwi Putri","")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IF($B32&lt;&gt;"","Faega Fitriani Dwi Putri","")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IF($B33&lt;&gt;"","Faega Fitriani Dwi Putri","")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IF($B34&lt;&gt;"","Faega Fitriani Dwi Putri","")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IF($B35&lt;&gt;"","Faega Fitriani Dwi Putri","")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IF($B36&lt;&gt;"","Faega Fitriani Dwi Putri","")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IF($B37&lt;&gt;"","Faega Fitriani Dwi Putri","")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IF($B38&lt;&gt;"","Faega Fitriani Dwi Putri","")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IF($B39&lt;&gt;"","Faega Fitriani Dwi Putri","")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IF($B40&lt;&gt;"","Faega Fitriani Dwi Putri","")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IF($B41&lt;&gt;"","Faega Fitriani Dwi Putri","")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IF($B42&lt;&gt;"","Faega Fitriani Dwi Putri","")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IF($B43&lt;&gt;"","Faega Fitriani Dwi Putri","")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IF($B44&lt;&gt;"","Faega Fitriani Dwi Putri","")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IF($B45&lt;&gt;"","Faega Fitriani Dwi Putri","")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IF($B46&lt;&gt;"","Faega Fitriani Dwi Putri","")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IF($B47&lt;&gt;"","Faega Fitriani Dwi Putri","")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IF($B48&lt;&gt;"","Faega Fitriani Dwi Putri","")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IF($B49&lt;&gt;"","Faega Fitriani Dwi Putri","")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IF($B50&lt;&gt;"","Faega Fitriani Dwi Putri","")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IF($B51&lt;&gt;"","Faega Fitriani Dwi Putri","")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IF($B52&lt;&gt;"","Faega Fitriani Dwi Putri","")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IF($B53&lt;&gt;"","Faega Fitriani Dwi Putri","")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IF($B54&lt;&gt;"","Faega Fitriani Dwi Putri","")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Fajri Rizki Robbani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Daffa</t>
        </is>
      </c>
      <c r="C5" s="30" t="n"/>
      <c r="D5" s="30" t="inlineStr">
        <is>
          <t>Beginner I</t>
        </is>
      </c>
      <c r="E5" s="43" t="inlineStr">
        <is>
          <t>PA</t>
        </is>
      </c>
      <c r="F5" s="43" t="n"/>
      <c r="G5" s="43" t="n"/>
      <c r="H5" s="30">
        <f>IF($B5&lt;&gt;"","Fajri Rizki Robbani","")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Athala Rayen</t>
        </is>
      </c>
      <c r="C6" s="30" t="n"/>
      <c r="D6" s="30" t="inlineStr">
        <is>
          <t>Beginner II</t>
        </is>
      </c>
      <c r="E6" s="43" t="inlineStr">
        <is>
          <t>PA</t>
        </is>
      </c>
      <c r="F6" s="43" t="n"/>
      <c r="G6" s="43" t="n"/>
      <c r="H6" s="30">
        <f>IF($B6&lt;&gt;"","Fajri Rizki Robbani","")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Aufa</t>
        </is>
      </c>
      <c r="C7" s="30" t="n"/>
      <c r="D7" s="30" t="inlineStr">
        <is>
          <t>Intermediate II</t>
        </is>
      </c>
      <c r="E7" s="43" t="inlineStr">
        <is>
          <t>Standalone</t>
        </is>
      </c>
      <c r="F7" s="43" t="n"/>
      <c r="G7" s="43" t="n"/>
      <c r="H7" s="30">
        <f>IF($B7&lt;&gt;"","Fajri Rizki Robbani","")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Genta</t>
        </is>
      </c>
      <c r="C8" s="30" t="n"/>
      <c r="D8" s="30" t="inlineStr">
        <is>
          <t>Intermediate I</t>
        </is>
      </c>
      <c r="E8" s="43" t="inlineStr">
        <is>
          <t>PA</t>
        </is>
      </c>
      <c r="F8" s="43" t="n"/>
      <c r="G8" s="43" t="n"/>
      <c r="H8" s="30">
        <f>IF($B8&lt;&gt;"","Fajri Rizki Robbani","")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Rizqi</t>
        </is>
      </c>
      <c r="C9" s="30" t="n"/>
      <c r="D9" s="30" t="inlineStr">
        <is>
          <t>Beginner II</t>
        </is>
      </c>
      <c r="E9" s="43" t="inlineStr">
        <is>
          <t>PA</t>
        </is>
      </c>
      <c r="F9" s="43" t="n"/>
      <c r="G9" s="43" t="n"/>
      <c r="H9" s="30">
        <f>IF($B9&lt;&gt;"","Fajri Rizki Robbani","")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Aizan</t>
        </is>
      </c>
      <c r="C10" s="30" t="n"/>
      <c r="D10" s="30" t="inlineStr">
        <is>
          <t>Preschool II</t>
        </is>
      </c>
      <c r="E10" s="43" t="inlineStr">
        <is>
          <t>PA</t>
        </is>
      </c>
      <c r="F10" s="43" t="n"/>
      <c r="G10" s="43" t="n"/>
      <c r="H10" s="30">
        <f>IF($B10&lt;&gt;"","Fajri Rizki Robbani","")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Varrel</t>
        </is>
      </c>
      <c r="C11" s="30" t="n"/>
      <c r="D11" s="30" t="inlineStr">
        <is>
          <t>Intermediate I</t>
        </is>
      </c>
      <c r="E11" s="43" t="inlineStr">
        <is>
          <t>Standalone</t>
        </is>
      </c>
      <c r="F11" s="43" t="n"/>
      <c r="G11" s="43" t="n"/>
      <c r="H11" s="30">
        <f>IF($B11&lt;&gt;"","Fajri Rizki Robbani","")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Athalla</t>
        </is>
      </c>
      <c r="C12" s="30" t="n"/>
      <c r="D12" s="30" t="inlineStr">
        <is>
          <t>Beginner III</t>
        </is>
      </c>
      <c r="E12" s="43" t="inlineStr">
        <is>
          <t>PA</t>
        </is>
      </c>
      <c r="F12" s="43" t="n"/>
      <c r="G12" s="43" t="n"/>
      <c r="H12" s="30">
        <f>IF($B12&lt;&gt;"","Fajri Rizki Robbani","")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Arazka</t>
        </is>
      </c>
      <c r="C13" s="30" t="n"/>
      <c r="D13" s="30" t="inlineStr">
        <is>
          <t>Beginner III</t>
        </is>
      </c>
      <c r="E13" s="43" t="inlineStr">
        <is>
          <t>PA</t>
        </is>
      </c>
      <c r="F13" s="43" t="n"/>
      <c r="G13" s="43" t="n"/>
      <c r="H13" s="30">
        <f>IF($B13&lt;&gt;"","Fajri Rizki Robbani","")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Arsene</t>
        </is>
      </c>
      <c r="C14" s="30" t="n"/>
      <c r="D14" s="30" t="inlineStr">
        <is>
          <t>Beginner II</t>
        </is>
      </c>
      <c r="E14" s="43" t="inlineStr">
        <is>
          <t>PA</t>
        </is>
      </c>
      <c r="F14" s="43" t="n"/>
      <c r="G14" s="43" t="n"/>
      <c r="H14" s="30">
        <f>IF($B14&lt;&gt;"","Fajri Rizki Robbani","")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Abidzar</t>
        </is>
      </c>
      <c r="C15" s="30" t="n"/>
      <c r="D15" s="30" t="inlineStr">
        <is>
          <t>Beginner II</t>
        </is>
      </c>
      <c r="E15" s="43" t="inlineStr">
        <is>
          <t>PA</t>
        </is>
      </c>
      <c r="F15" s="43" t="n"/>
      <c r="G15" s="43" t="n"/>
      <c r="H15" s="30">
        <f>IF($B15&lt;&gt;"","Fajri Rizki Robbani","")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Hamzah</t>
        </is>
      </c>
      <c r="C16" s="30" t="n"/>
      <c r="D16" s="30" t="inlineStr">
        <is>
          <t>Aquatike I</t>
        </is>
      </c>
      <c r="E16" s="43" t="inlineStr">
        <is>
          <t>PA</t>
        </is>
      </c>
      <c r="F16" s="43" t="n"/>
      <c r="G16" s="43" t="n"/>
      <c r="H16" s="30">
        <f>IF($B16&lt;&gt;"","Fajri Rizki Robbani","")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IF($B17&lt;&gt;"","Fajri Rizki Robbani","")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IF($B18&lt;&gt;"","Fajri Rizki Robbani","")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IF($B19&lt;&gt;"","Fajri Rizki Robbani","")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IF($B20&lt;&gt;"","Fajri Rizki Robbani","")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IF($B21&lt;&gt;"","Fajri Rizki Robbani","")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IF($B22&lt;&gt;"","Fajri Rizki Robbani","")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IF($B23&lt;&gt;"","Fajri Rizki Robbani","")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IF($B24&lt;&gt;"","Fajri Rizki Robbani","")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IF($B25&lt;&gt;"","Fajri Rizki Robbani","")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IF($B26&lt;&gt;"","Fajri Rizki Robbani","")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IF($B27&lt;&gt;"","Fajri Rizki Robbani","")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IF($B28&lt;&gt;"","Fajri Rizki Robbani","")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IF($B29&lt;&gt;"","Fajri Rizki Robbani","")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IF($B30&lt;&gt;"","Fajri Rizki Robbani","")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IF($B31&lt;&gt;"","Fajri Rizki Robbani","")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IF($B32&lt;&gt;"","Fajri Rizki Robbani","")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IF($B33&lt;&gt;"","Fajri Rizki Robbani","")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IF($B34&lt;&gt;"","Fajri Rizki Robbani","")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IF($B35&lt;&gt;"","Fajri Rizki Robbani","")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IF($B36&lt;&gt;"","Fajri Rizki Robbani","")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IF($B37&lt;&gt;"","Fajri Rizki Robbani","")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IF($B38&lt;&gt;"","Fajri Rizki Robbani","")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IF($B39&lt;&gt;"","Fajri Rizki Robbani","")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IF($B40&lt;&gt;"","Fajri Rizki Robbani","")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IF($B41&lt;&gt;"","Fajri Rizki Robbani","")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IF($B42&lt;&gt;"","Fajri Rizki Robbani","")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IF($B43&lt;&gt;"","Fajri Rizki Robbani","")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IF($B44&lt;&gt;"","Fajri Rizki Robbani","")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IF($B45&lt;&gt;"","Fajri Rizki Robbani","")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IF($B46&lt;&gt;"","Fajri Rizki Robbani","")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IF($B47&lt;&gt;"","Fajri Rizki Robbani","")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IF($B48&lt;&gt;"","Fajri Rizki Robbani","")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IF($B49&lt;&gt;"","Fajri Rizki Robbani","")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IF($B50&lt;&gt;"","Fajri Rizki Robbani","")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IF($B51&lt;&gt;"","Fajri Rizki Robbani","")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IF($B52&lt;&gt;"","Fajri Rizki Robbani","")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IF($B53&lt;&gt;"","Fajri Rizki Robbani","")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IF($B54&lt;&gt;"","Fajri Rizki Robbani","")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Fakhri Safrudin Sopandi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Rumi Aldibara Noor</t>
        </is>
      </c>
      <c r="C5" s="30" t="n"/>
      <c r="D5" s="30" t="inlineStr">
        <is>
          <t>Advanced I</t>
        </is>
      </c>
      <c r="E5" s="43" t="inlineStr">
        <is>
          <t>Standalone</t>
        </is>
      </c>
      <c r="F5" s="43" t="n"/>
      <c r="G5" s="43" t="n"/>
      <c r="H5" s="30">
        <f>IF($B5&lt;&gt;"","Fakhri Safrudin Sopandi","")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Samuel Moto Natama</t>
        </is>
      </c>
      <c r="C6" s="30" t="n"/>
      <c r="D6" s="30" t="inlineStr">
        <is>
          <t>Beginner III</t>
        </is>
      </c>
      <c r="E6" s="43" t="inlineStr">
        <is>
          <t>Standalone</t>
        </is>
      </c>
      <c r="F6" s="43" t="n"/>
      <c r="G6" s="43" t="n"/>
      <c r="H6" s="30">
        <f>IF($B6&lt;&gt;"","Fakhri Safrudin Sopandi","")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Mathias lasdo Artana</t>
        </is>
      </c>
      <c r="C7" s="30" t="n"/>
      <c r="D7" s="30" t="inlineStr">
        <is>
          <t>Beginner I</t>
        </is>
      </c>
      <c r="E7" s="43" t="inlineStr">
        <is>
          <t>Standalone</t>
        </is>
      </c>
      <c r="F7" s="43" t="n"/>
      <c r="G7" s="43" t="n"/>
      <c r="H7" s="30">
        <f>IF($B7&lt;&gt;"","Fakhri Safrudin Sopandi","")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Alshan Danendra Gafa</t>
        </is>
      </c>
      <c r="C8" s="30" t="n"/>
      <c r="D8" s="30" t="inlineStr">
        <is>
          <t>Aquatike I</t>
        </is>
      </c>
      <c r="E8" s="43" t="inlineStr">
        <is>
          <t>Standalone</t>
        </is>
      </c>
      <c r="F8" s="43" t="n"/>
      <c r="G8" s="43" t="n"/>
      <c r="H8" s="30">
        <f>IF($B8&lt;&gt;"","Fakhri Safrudin Sopandi","")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Muhammad Aufa Ghaisani</t>
        </is>
      </c>
      <c r="C9" s="30" t="n"/>
      <c r="D9" s="30" t="inlineStr">
        <is>
          <t>Beginner I</t>
        </is>
      </c>
      <c r="E9" s="43" t="inlineStr">
        <is>
          <t>Standalone</t>
        </is>
      </c>
      <c r="F9" s="43" t="n"/>
      <c r="G9" s="43" t="n"/>
      <c r="H9" s="30">
        <f>IF($B9&lt;&gt;"","Fakhri Safrudin Sopandi","")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Fauzan Kareemzafran</t>
        </is>
      </c>
      <c r="C10" s="30" t="n"/>
      <c r="D10" s="30" t="inlineStr">
        <is>
          <t>Beginner I</t>
        </is>
      </c>
      <c r="E10" s="43" t="inlineStr">
        <is>
          <t>Standalone</t>
        </is>
      </c>
      <c r="F10" s="43" t="n"/>
      <c r="G10" s="43" t="n"/>
      <c r="H10" s="30">
        <f>IF($B10&lt;&gt;"","Fakhri Safrudin Sopandi","")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Fauzan Asfa</t>
        </is>
      </c>
      <c r="C11" s="30" t="n"/>
      <c r="D11" s="30" t="inlineStr">
        <is>
          <t>Swim Team Prep</t>
        </is>
      </c>
      <c r="E11" s="43" t="inlineStr">
        <is>
          <t>Standalone</t>
        </is>
      </c>
      <c r="F11" s="43" t="n"/>
      <c r="G11" s="43" t="n"/>
      <c r="H11" s="30">
        <f>IF($B11&lt;&gt;"","Fakhri Safrudin Sopandi","")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Hasbi Assidqi</t>
        </is>
      </c>
      <c r="C12" s="30" t="n"/>
      <c r="D12" s="30" t="inlineStr">
        <is>
          <t>Beginner I</t>
        </is>
      </c>
      <c r="E12" s="43" t="inlineStr">
        <is>
          <t>Standalone</t>
        </is>
      </c>
      <c r="F12" s="43" t="n"/>
      <c r="G12" s="43" t="n"/>
      <c r="H12" s="30">
        <f>IF($B12&lt;&gt;"","Fakhri Safrudin Sopandi","")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Devandra Omar</t>
        </is>
      </c>
      <c r="C13" s="30" t="inlineStr">
        <is>
          <t>Baby Swim</t>
        </is>
      </c>
      <c r="D13" s="30" t="inlineStr">
        <is>
          <t>Baby Swim I</t>
        </is>
      </c>
      <c r="E13" s="43" t="inlineStr">
        <is>
          <t>PA</t>
        </is>
      </c>
      <c r="F13" s="43" t="n"/>
      <c r="G13" s="43" t="n"/>
      <c r="H13" s="30">
        <f>IF($B13&lt;&gt;"","Fakhri Safrudin Sopandi","")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Muhammad Arkan</t>
        </is>
      </c>
      <c r="C14" s="30" t="n"/>
      <c r="D14" s="30" t="inlineStr">
        <is>
          <t>Beginner I</t>
        </is>
      </c>
      <c r="E14" s="43" t="inlineStr">
        <is>
          <t>Standalone</t>
        </is>
      </c>
      <c r="F14" s="43" t="n"/>
      <c r="G14" s="43" t="n"/>
      <c r="H14" s="30">
        <f>IF($B14&lt;&gt;"","Fakhri Safrudin Sopandi","")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Muhammad Althaf</t>
        </is>
      </c>
      <c r="C15" s="30" t="n"/>
      <c r="D15" s="30" t="inlineStr">
        <is>
          <t>Beginner I</t>
        </is>
      </c>
      <c r="E15" s="43" t="inlineStr">
        <is>
          <t>Standalone</t>
        </is>
      </c>
      <c r="F15" s="43" t="n"/>
      <c r="G15" s="43" t="n"/>
      <c r="H15" s="30">
        <f>IF($B15&lt;&gt;"","Fakhri Safrudin Sopandi","")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IF($B16&lt;&gt;"","Fakhri Safrudin Sopandi","")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IF($B17&lt;&gt;"","Fakhri Safrudin Sopandi","")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IF($B18&lt;&gt;"","Fakhri Safrudin Sopandi","")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IF($B19&lt;&gt;"","Fakhri Safrudin Sopandi","")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IF($B20&lt;&gt;"","Fakhri Safrudin Sopandi","")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IF($B21&lt;&gt;"","Fakhri Safrudin Sopandi","")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IF($B22&lt;&gt;"","Fakhri Safrudin Sopandi","")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IF($B23&lt;&gt;"","Fakhri Safrudin Sopandi","")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IF($B24&lt;&gt;"","Fakhri Safrudin Sopandi","")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IF($B25&lt;&gt;"","Fakhri Safrudin Sopandi","")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IF($B26&lt;&gt;"","Fakhri Safrudin Sopandi","")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IF($B27&lt;&gt;"","Fakhri Safrudin Sopandi","")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IF($B28&lt;&gt;"","Fakhri Safrudin Sopandi","")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IF($B29&lt;&gt;"","Fakhri Safrudin Sopandi","")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IF($B30&lt;&gt;"","Fakhri Safrudin Sopandi","")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IF($B31&lt;&gt;"","Fakhri Safrudin Sopandi","")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IF($B32&lt;&gt;"","Fakhri Safrudin Sopandi","")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IF($B33&lt;&gt;"","Fakhri Safrudin Sopandi","")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IF($B34&lt;&gt;"","Fakhri Safrudin Sopandi","")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IF($B35&lt;&gt;"","Fakhri Safrudin Sopandi","")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IF($B36&lt;&gt;"","Fakhri Safrudin Sopandi","")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IF($B37&lt;&gt;"","Fakhri Safrudin Sopandi","")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IF($B38&lt;&gt;"","Fakhri Safrudin Sopandi","")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IF($B39&lt;&gt;"","Fakhri Safrudin Sopandi","")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IF($B40&lt;&gt;"","Fakhri Safrudin Sopandi","")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IF($B41&lt;&gt;"","Fakhri Safrudin Sopandi","")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IF($B42&lt;&gt;"","Fakhri Safrudin Sopandi","")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IF($B43&lt;&gt;"","Fakhri Safrudin Sopandi","")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IF($B44&lt;&gt;"","Fakhri Safrudin Sopandi","")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IF($B45&lt;&gt;"","Fakhri Safrudin Sopandi","")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IF($B46&lt;&gt;"","Fakhri Safrudin Sopandi","")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IF($B47&lt;&gt;"","Fakhri Safrudin Sopandi","")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IF($B48&lt;&gt;"","Fakhri Safrudin Sopandi","")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IF($B49&lt;&gt;"","Fakhri Safrudin Sopandi","")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IF($B50&lt;&gt;"","Fakhri Safrudin Sopandi","")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IF($B51&lt;&gt;"","Fakhri Safrudin Sopandi","")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IF($B52&lt;&gt;"","Fakhri Safrudin Sopandi","")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IF($B53&lt;&gt;"","Fakhri Safrudin Sopandi","")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IF($B54&lt;&gt;"","Fakhri Safrudin Sopandi","")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Moh. Rizky Nugraha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Fakhrie Azzam Ramdhani</t>
        </is>
      </c>
      <c r="C5" s="30" t="n"/>
      <c r="D5" s="30" t="inlineStr">
        <is>
          <t>Intermediate I</t>
        </is>
      </c>
      <c r="E5" s="43" t="inlineStr">
        <is>
          <t>Standalone</t>
        </is>
      </c>
      <c r="F5" s="43" t="n"/>
      <c r="G5" s="43" t="n"/>
      <c r="H5" s="30">
        <f>IF($B5&lt;&gt;"","Moh. Rizky Nugraha","")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Nesya Maheswari</t>
        </is>
      </c>
      <c r="C6" s="30" t="n"/>
      <c r="D6" s="30" t="inlineStr">
        <is>
          <t>Beginner I</t>
        </is>
      </c>
      <c r="E6" s="43" t="inlineStr">
        <is>
          <t>Standalone</t>
        </is>
      </c>
      <c r="F6" s="43" t="n"/>
      <c r="G6" s="43" t="n"/>
      <c r="H6" s="30">
        <f>IF($B6&lt;&gt;"","Moh. Rizky Nugraha","")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Kamayel Zurio</t>
        </is>
      </c>
      <c r="C7" s="30" t="inlineStr">
        <is>
          <t>Baby Swim</t>
        </is>
      </c>
      <c r="D7" s="30" t="inlineStr">
        <is>
          <t>Baby Swim I</t>
        </is>
      </c>
      <c r="E7" s="43" t="inlineStr">
        <is>
          <t>PA</t>
        </is>
      </c>
      <c r="F7" s="43" t="n"/>
      <c r="G7" s="43" t="n"/>
      <c r="H7" s="30">
        <f>IF($B7&lt;&gt;"","Moh. Rizky Nugraha","")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Arvino Elghazi</t>
        </is>
      </c>
      <c r="C8" s="30" t="n"/>
      <c r="D8" s="30" t="inlineStr">
        <is>
          <t>Beginner II</t>
        </is>
      </c>
      <c r="E8" s="43" t="inlineStr">
        <is>
          <t>Standalone</t>
        </is>
      </c>
      <c r="F8" s="43" t="n"/>
      <c r="G8" s="43" t="n"/>
      <c r="H8" s="30">
        <f>IF($B8&lt;&gt;"","Moh. Rizky Nugraha","")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Almira</t>
        </is>
      </c>
      <c r="C9" s="30" t="n"/>
      <c r="D9" s="30" t="inlineStr">
        <is>
          <t>Beginner I</t>
        </is>
      </c>
      <c r="E9" s="43" t="inlineStr">
        <is>
          <t>Standalone</t>
        </is>
      </c>
      <c r="F9" s="43" t="n"/>
      <c r="G9" s="43" t="n"/>
      <c r="H9" s="30">
        <f>IF($B9&lt;&gt;"","Moh. Rizky Nugraha","")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Dhafir</t>
        </is>
      </c>
      <c r="C10" s="30" t="n"/>
      <c r="D10" s="30" t="inlineStr">
        <is>
          <t>Beginner I</t>
        </is>
      </c>
      <c r="E10" s="43" t="inlineStr">
        <is>
          <t>Standalone</t>
        </is>
      </c>
      <c r="F10" s="43" t="n"/>
      <c r="G10" s="43" t="n"/>
      <c r="H10" s="30">
        <f>IF($B10&lt;&gt;"","Moh. Rizky Nugraha","")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n"/>
      <c r="C11" s="30" t="n"/>
      <c r="D11" s="30" t="n"/>
      <c r="E11" s="43" t="n"/>
      <c r="F11" s="43" t="n"/>
      <c r="G11" s="43" t="n"/>
      <c r="H11" s="30">
        <f>IF($B11&lt;&gt;"","Moh. Rizky Nugraha","")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n"/>
      <c r="C12" s="30" t="n"/>
      <c r="D12" s="30" t="n"/>
      <c r="E12" s="43" t="n"/>
      <c r="F12" s="43" t="n"/>
      <c r="G12" s="43" t="n"/>
      <c r="H12" s="30">
        <f>IF($B12&lt;&gt;"","Moh. Rizky Nugraha","")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n"/>
      <c r="C13" s="30" t="n"/>
      <c r="D13" s="30" t="n"/>
      <c r="E13" s="43" t="n"/>
      <c r="F13" s="43" t="n"/>
      <c r="G13" s="43" t="n"/>
      <c r="H13" s="30">
        <f>IF($B13&lt;&gt;"","Moh. Rizky Nugraha","")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n"/>
      <c r="C14" s="30" t="n"/>
      <c r="D14" s="30" t="n"/>
      <c r="E14" s="43" t="n"/>
      <c r="F14" s="43" t="n"/>
      <c r="G14" s="43" t="n"/>
      <c r="H14" s="30">
        <f>IF($B14&lt;&gt;"","Moh. Rizky Nugraha","")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n"/>
      <c r="C15" s="30" t="n"/>
      <c r="D15" s="30" t="n"/>
      <c r="E15" s="43" t="n"/>
      <c r="F15" s="43" t="n"/>
      <c r="G15" s="43" t="n"/>
      <c r="H15" s="30">
        <f>IF($B15&lt;&gt;"","Moh. Rizky Nugraha","")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IF($B16&lt;&gt;"","Moh. Rizky Nugraha","")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IF($B17&lt;&gt;"","Moh. Rizky Nugraha","")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IF($B18&lt;&gt;"","Moh. Rizky Nugraha","")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IF($B19&lt;&gt;"","Moh. Rizky Nugraha","")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IF($B20&lt;&gt;"","Moh. Rizky Nugraha","")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IF($B21&lt;&gt;"","Moh. Rizky Nugraha","")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IF($B22&lt;&gt;"","Moh. Rizky Nugraha","")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IF($B23&lt;&gt;"","Moh. Rizky Nugraha","")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IF($B24&lt;&gt;"","Moh. Rizky Nugraha","")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IF($B25&lt;&gt;"","Moh. Rizky Nugraha","")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IF($B26&lt;&gt;"","Moh. Rizky Nugraha","")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IF($B27&lt;&gt;"","Moh. Rizky Nugraha","")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IF($B28&lt;&gt;"","Moh. Rizky Nugraha","")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IF($B29&lt;&gt;"","Moh. Rizky Nugraha","")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IF($B30&lt;&gt;"","Moh. Rizky Nugraha","")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IF($B31&lt;&gt;"","Moh. Rizky Nugraha","")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IF($B32&lt;&gt;"","Moh. Rizky Nugraha","")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IF($B33&lt;&gt;"","Moh. Rizky Nugraha","")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IF($B34&lt;&gt;"","Moh. Rizky Nugraha","")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IF($B35&lt;&gt;"","Moh. Rizky Nugraha","")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IF($B36&lt;&gt;"","Moh. Rizky Nugraha","")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IF($B37&lt;&gt;"","Moh. Rizky Nugraha","")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IF($B38&lt;&gt;"","Moh. Rizky Nugraha","")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IF($B39&lt;&gt;"","Moh. Rizky Nugraha","")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IF($B40&lt;&gt;"","Moh. Rizky Nugraha","")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IF($B41&lt;&gt;"","Moh. Rizky Nugraha","")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IF($B42&lt;&gt;"","Moh. Rizky Nugraha","")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IF($B43&lt;&gt;"","Moh. Rizky Nugraha","")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IF($B44&lt;&gt;"","Moh. Rizky Nugraha","")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IF($B45&lt;&gt;"","Moh. Rizky Nugraha","")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IF($B46&lt;&gt;"","Moh. Rizky Nugraha","")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IF($B47&lt;&gt;"","Moh. Rizky Nugraha","")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IF($B48&lt;&gt;"","Moh. Rizky Nugraha","")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IF($B49&lt;&gt;"","Moh. Rizky Nugraha","")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IF($B50&lt;&gt;"","Moh. Rizky Nugraha","")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IF($B51&lt;&gt;"","Moh. Rizky Nugraha","")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IF($B52&lt;&gt;"","Moh. Rizky Nugraha","")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IF($B53&lt;&gt;"","Moh. Rizky Nugraha","")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IF($B54&lt;&gt;"","Moh. Rizky Nugraha","")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Muhammad Akbar Putra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Alaric Naufal Shafaraz</t>
        </is>
      </c>
      <c r="C5" s="30" t="n"/>
      <c r="D5" s="30" t="inlineStr">
        <is>
          <t>Swim Team Prep</t>
        </is>
      </c>
      <c r="E5" s="43" t="inlineStr">
        <is>
          <t>Standalone</t>
        </is>
      </c>
      <c r="F5" s="43" t="n"/>
      <c r="G5" s="43" t="n"/>
      <c r="H5" s="30">
        <f>IF($B5&lt;&gt;"","Muhammad Akbar Putra","")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Dhirgam Evano H</t>
        </is>
      </c>
      <c r="C6" s="30" t="n"/>
      <c r="D6" s="30" t="inlineStr">
        <is>
          <t>Beginner III</t>
        </is>
      </c>
      <c r="E6" s="43" t="inlineStr">
        <is>
          <t>Standalone</t>
        </is>
      </c>
      <c r="F6" s="43" t="n"/>
      <c r="G6" s="43" t="n"/>
      <c r="H6" s="30">
        <f>IF($B6&lt;&gt;"","Muhammad Akbar Putra","")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Eliam Adley Eleazar</t>
        </is>
      </c>
      <c r="C7" s="30" t="n"/>
      <c r="D7" s="30" t="inlineStr">
        <is>
          <t>Intermediate I</t>
        </is>
      </c>
      <c r="E7" s="43" t="inlineStr">
        <is>
          <t>Standalone</t>
        </is>
      </c>
      <c r="F7" s="43" t="n"/>
      <c r="G7" s="43" t="n"/>
      <c r="H7" s="30">
        <f>IF($B7&lt;&gt;"","Muhammad Akbar Putra","")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Adam Akbar Rizqiawan</t>
        </is>
      </c>
      <c r="C8" s="30" t="n"/>
      <c r="D8" s="30" t="inlineStr">
        <is>
          <t>Intermediate I</t>
        </is>
      </c>
      <c r="E8" s="43" t="inlineStr">
        <is>
          <t>Standalone</t>
        </is>
      </c>
      <c r="F8" s="43" t="n"/>
      <c r="G8" s="43" t="n"/>
      <c r="H8" s="30">
        <f>IF($B8&lt;&gt;"","Muhammad Akbar Putra","")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Benedict Feifel Sugiarto</t>
        </is>
      </c>
      <c r="C9" s="30" t="n"/>
      <c r="D9" s="30" t="inlineStr">
        <is>
          <t>Beginner III</t>
        </is>
      </c>
      <c r="E9" s="43" t="inlineStr">
        <is>
          <t>Standalone</t>
        </is>
      </c>
      <c r="F9" s="43" t="n"/>
      <c r="G9" s="43" t="n"/>
      <c r="H9" s="30">
        <f>IF($B9&lt;&gt;"","Muhammad Akbar Putra","")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Muhamad Hafiz Putra Pratama</t>
        </is>
      </c>
      <c r="C10" s="30" t="n"/>
      <c r="D10" s="30" t="inlineStr">
        <is>
          <t>Beginner I</t>
        </is>
      </c>
      <c r="E10" s="43" t="inlineStr">
        <is>
          <t>Standalone</t>
        </is>
      </c>
      <c r="F10" s="43" t="n"/>
      <c r="G10" s="43" t="n"/>
      <c r="H10" s="30">
        <f>IF($B10&lt;&gt;"","Muhammad Akbar Putra","")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Deandra Arezky Ali</t>
        </is>
      </c>
      <c r="C11" s="30" t="n"/>
      <c r="D11" s="30" t="inlineStr">
        <is>
          <t>Intermediate I</t>
        </is>
      </c>
      <c r="E11" s="43" t="inlineStr">
        <is>
          <t>Standalone</t>
        </is>
      </c>
      <c r="F11" s="43" t="n"/>
      <c r="G11" s="43" t="n"/>
      <c r="H11" s="30">
        <f>IF($B11&lt;&gt;"","Muhammad Akbar Putra","")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Fillio Azmi Hadyan</t>
        </is>
      </c>
      <c r="C12" s="30" t="n"/>
      <c r="D12" s="30" t="inlineStr">
        <is>
          <t>Intermediate I</t>
        </is>
      </c>
      <c r="E12" s="43" t="inlineStr">
        <is>
          <t>Standalone</t>
        </is>
      </c>
      <c r="F12" s="43" t="n"/>
      <c r="G12" s="43" t="n"/>
      <c r="H12" s="30">
        <f>IF($B12&lt;&gt;"","Muhammad Akbar Putra","")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Keenan Athaya Kusumah</t>
        </is>
      </c>
      <c r="C13" s="30" t="n"/>
      <c r="D13" s="30" t="inlineStr">
        <is>
          <t>Intermediate I</t>
        </is>
      </c>
      <c r="E13" s="43" t="inlineStr">
        <is>
          <t>Standalone</t>
        </is>
      </c>
      <c r="F13" s="43" t="n"/>
      <c r="G13" s="43" t="n"/>
      <c r="H13" s="30">
        <f>IF($B13&lt;&gt;"","Muhammad Akbar Putra","")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Atharizz Abbyan Kusumah</t>
        </is>
      </c>
      <c r="C14" s="30" t="n"/>
      <c r="D14" s="30" t="inlineStr">
        <is>
          <t>Advanced II</t>
        </is>
      </c>
      <c r="E14" s="43" t="inlineStr">
        <is>
          <t>Standalone</t>
        </is>
      </c>
      <c r="F14" s="43" t="n"/>
      <c r="G14" s="43" t="n"/>
      <c r="H14" s="30">
        <f>IF($B14&lt;&gt;"","Muhammad Akbar Putra","")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Elzian Melvin Daviandra</t>
        </is>
      </c>
      <c r="C15" s="30" t="n"/>
      <c r="D15" s="30" t="inlineStr">
        <is>
          <t>Beginner III</t>
        </is>
      </c>
      <c r="E15" s="43" t="inlineStr">
        <is>
          <t>Standalone</t>
        </is>
      </c>
      <c r="F15" s="43" t="n"/>
      <c r="G15" s="43" t="n"/>
      <c r="H15" s="30">
        <f>IF($B15&lt;&gt;"","Muhammad Akbar Putra","")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Adzkia Zahratul Dzikra</t>
        </is>
      </c>
      <c r="C16" s="30" t="n"/>
      <c r="D16" s="30" t="inlineStr">
        <is>
          <t>Intermediate I</t>
        </is>
      </c>
      <c r="E16" s="43" t="inlineStr">
        <is>
          <t>Standalone</t>
        </is>
      </c>
      <c r="F16" s="43" t="n"/>
      <c r="G16" s="43" t="n"/>
      <c r="H16" s="30">
        <f>IF($B16&lt;&gt;"","Muhammad Akbar Putra","")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Queena Xaviera Al Zahsy</t>
        </is>
      </c>
      <c r="C17" s="30" t="n"/>
      <c r="D17" s="30" t="inlineStr">
        <is>
          <t>Beginner I</t>
        </is>
      </c>
      <c r="E17" s="43" t="inlineStr">
        <is>
          <t>Standalone</t>
        </is>
      </c>
      <c r="F17" s="43" t="n"/>
      <c r="G17" s="43" t="n"/>
      <c r="H17" s="30">
        <f>IF($B17&lt;&gt;"","Muhammad Akbar Putra","")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Muhammad Arsyad Mubarak</t>
        </is>
      </c>
      <c r="C18" s="30" t="n"/>
      <c r="D18" s="30" t="inlineStr">
        <is>
          <t>Intermediate I</t>
        </is>
      </c>
      <c r="E18" s="43" t="inlineStr">
        <is>
          <t>Standalone</t>
        </is>
      </c>
      <c r="F18" s="43" t="n"/>
      <c r="G18" s="43" t="n"/>
      <c r="H18" s="30">
        <f>IF($B18&lt;&gt;"","Muhammad Akbar Putra","")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Faeyza Zabdan Gumelar</t>
        </is>
      </c>
      <c r="C19" s="30" t="n"/>
      <c r="D19" s="30" t="inlineStr">
        <is>
          <t>Beginner III</t>
        </is>
      </c>
      <c r="E19" s="43" t="inlineStr">
        <is>
          <t>Standalone</t>
        </is>
      </c>
      <c r="F19" s="43" t="n"/>
      <c r="G19" s="43" t="n"/>
      <c r="H19" s="30">
        <f>IF($B19&lt;&gt;"","Muhammad Akbar Putra","")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Haqiqi Aldebaran Fauzi</t>
        </is>
      </c>
      <c r="C20" s="30" t="n"/>
      <c r="D20" s="30" t="inlineStr">
        <is>
          <t>Beginner I</t>
        </is>
      </c>
      <c r="E20" s="43" t="inlineStr">
        <is>
          <t>Standalone</t>
        </is>
      </c>
      <c r="F20" s="43" t="n"/>
      <c r="G20" s="43" t="n"/>
      <c r="H20" s="30">
        <f>IF($B20&lt;&gt;"","Muhammad Akbar Putra","")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IF($B21&lt;&gt;"","Muhammad Akbar Putra","")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IF($B22&lt;&gt;"","Muhammad Akbar Putra","")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IF($B23&lt;&gt;"","Muhammad Akbar Putra","")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IF($B24&lt;&gt;"","Muhammad Akbar Putra","")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IF($B25&lt;&gt;"","Muhammad Akbar Putra","")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IF($B26&lt;&gt;"","Muhammad Akbar Putra","")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IF($B27&lt;&gt;"","Muhammad Akbar Putra","")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IF($B28&lt;&gt;"","Muhammad Akbar Putra","")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IF($B29&lt;&gt;"","Muhammad Akbar Putra","")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IF($B30&lt;&gt;"","Muhammad Akbar Putra","")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IF($B31&lt;&gt;"","Muhammad Akbar Putra","")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IF($B32&lt;&gt;"","Muhammad Akbar Putra","")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IF($B33&lt;&gt;"","Muhammad Akbar Putra","")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IF($B34&lt;&gt;"","Muhammad Akbar Putra","")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IF($B35&lt;&gt;"","Muhammad Akbar Putra","")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IF($B36&lt;&gt;"","Muhammad Akbar Putra","")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IF($B37&lt;&gt;"","Muhammad Akbar Putra","")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IF($B38&lt;&gt;"","Muhammad Akbar Putra","")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IF($B39&lt;&gt;"","Muhammad Akbar Putra","")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IF($B40&lt;&gt;"","Muhammad Akbar Putra","")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IF($B41&lt;&gt;"","Muhammad Akbar Putra","")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IF($B42&lt;&gt;"","Muhammad Akbar Putra","")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IF($B43&lt;&gt;"","Muhammad Akbar Putra","")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IF($B44&lt;&gt;"","Muhammad Akbar Putra","")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IF($B45&lt;&gt;"","Muhammad Akbar Putra","")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IF($B46&lt;&gt;"","Muhammad Akbar Putra","")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IF($B47&lt;&gt;"","Muhammad Akbar Putra","")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IF($B48&lt;&gt;"","Muhammad Akbar Putra","")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IF($B49&lt;&gt;"","Muhammad Akbar Putra","")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IF($B50&lt;&gt;"","Muhammad Akbar Putra","")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IF($B51&lt;&gt;"","Muhammad Akbar Putra","")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IF($B52&lt;&gt;"","Muhammad Akbar Putra","")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IF($B53&lt;&gt;"","Muhammad Akbar Putra","")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IF($B54&lt;&gt;"","Muhammad Akbar Putra","")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Muhammad Hafidz Ramadhan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Hamdan</t>
        </is>
      </c>
      <c r="C5" s="30" t="n"/>
      <c r="D5" s="30" t="inlineStr">
        <is>
          <t>Aquatike I</t>
        </is>
      </c>
      <c r="E5" s="43" t="inlineStr">
        <is>
          <t>Standalone</t>
        </is>
      </c>
      <c r="F5" s="43" t="n"/>
      <c r="G5" s="43" t="n"/>
      <c r="H5" s="30">
        <f>IF($B5&lt;&gt;"","Muhammad Hafidz Ramadhan","")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gamma</t>
        </is>
      </c>
      <c r="C6" s="30" t="n"/>
      <c r="D6" s="30" t="inlineStr">
        <is>
          <t>Intermediate II</t>
        </is>
      </c>
      <c r="E6" s="43" t="inlineStr">
        <is>
          <t>Standalone</t>
        </is>
      </c>
      <c r="F6" s="43" t="n"/>
      <c r="G6" s="43" t="n"/>
      <c r="H6" s="30">
        <f>IF($B6&lt;&gt;"","Muhammad Hafidz Ramadhan","")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angkasa</t>
        </is>
      </c>
      <c r="C7" s="30" t="n"/>
      <c r="D7" s="30" t="inlineStr">
        <is>
          <t>Beginner I</t>
        </is>
      </c>
      <c r="E7" s="43" t="inlineStr">
        <is>
          <t>Standalone</t>
        </is>
      </c>
      <c r="F7" s="43" t="n"/>
      <c r="G7" s="43" t="n"/>
      <c r="H7" s="30">
        <f>IF($B7&lt;&gt;"","Muhammad Hafidz Ramadhan","")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gilbran</t>
        </is>
      </c>
      <c r="C8" s="30" t="n"/>
      <c r="D8" s="30" t="inlineStr">
        <is>
          <t>Advanced II</t>
        </is>
      </c>
      <c r="E8" s="43" t="inlineStr">
        <is>
          <t>Standalone</t>
        </is>
      </c>
      <c r="F8" s="43" t="n"/>
      <c r="G8" s="43" t="n"/>
      <c r="H8" s="30">
        <f>IF($B8&lt;&gt;"","Muhammad Hafidz Ramadhan","")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zaid</t>
        </is>
      </c>
      <c r="C9" s="30" t="n"/>
      <c r="D9" s="30" t="inlineStr">
        <is>
          <t>Beginner III</t>
        </is>
      </c>
      <c r="E9" s="43" t="inlineStr">
        <is>
          <t>Standalone</t>
        </is>
      </c>
      <c r="F9" s="43" t="n"/>
      <c r="G9" s="43" t="n"/>
      <c r="H9" s="30">
        <f>IF($B9&lt;&gt;"","Muhammad Hafidz Ramadhan","")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akbar</t>
        </is>
      </c>
      <c r="C10" s="30" t="n"/>
      <c r="D10" s="30" t="inlineStr">
        <is>
          <t>Swim Team Prep</t>
        </is>
      </c>
      <c r="E10" s="43" t="inlineStr">
        <is>
          <t>Standalone</t>
        </is>
      </c>
      <c r="F10" s="43" t="n"/>
      <c r="G10" s="43" t="n"/>
      <c r="H10" s="30">
        <f>IF($B10&lt;&gt;"","Muhammad Hafidz Ramadhan","")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rasya</t>
        </is>
      </c>
      <c r="C11" s="30" t="n"/>
      <c r="D11" s="30" t="inlineStr">
        <is>
          <t>Swim Team Prep</t>
        </is>
      </c>
      <c r="E11" s="43" t="inlineStr">
        <is>
          <t>Standalone</t>
        </is>
      </c>
      <c r="F11" s="43" t="n"/>
      <c r="G11" s="43" t="n"/>
      <c r="H11" s="30">
        <f>IF($B11&lt;&gt;"","Muhammad Hafidz Ramadhan","")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assyifa</t>
        </is>
      </c>
      <c r="C12" s="30" t="n"/>
      <c r="D12" s="30" t="inlineStr">
        <is>
          <t>Beginner III</t>
        </is>
      </c>
      <c r="E12" s="43" t="inlineStr">
        <is>
          <t>Standalone</t>
        </is>
      </c>
      <c r="F12" s="43" t="n"/>
      <c r="G12" s="43" t="n"/>
      <c r="H12" s="30">
        <f>IF($B12&lt;&gt;"","Muhammad Hafidz Ramadhan","")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gahziya</t>
        </is>
      </c>
      <c r="C13" s="30" t="n"/>
      <c r="D13" s="30" t="inlineStr">
        <is>
          <t>Beginner III</t>
        </is>
      </c>
      <c r="E13" s="43" t="inlineStr">
        <is>
          <t>Standalone</t>
        </is>
      </c>
      <c r="F13" s="43" t="n"/>
      <c r="G13" s="43" t="n"/>
      <c r="H13" s="30">
        <f>IF($B13&lt;&gt;"","Muhammad Hafidz Ramadhan","")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rara</t>
        </is>
      </c>
      <c r="C14" s="30" t="n"/>
      <c r="D14" s="30" t="inlineStr">
        <is>
          <t>Advanced I</t>
        </is>
      </c>
      <c r="E14" s="43" t="inlineStr">
        <is>
          <t>Standalone</t>
        </is>
      </c>
      <c r="F14" s="43" t="n"/>
      <c r="G14" s="43" t="n"/>
      <c r="H14" s="30">
        <f>IF($B14&lt;&gt;"","Muhammad Hafidz Ramadhan","")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alifia</t>
        </is>
      </c>
      <c r="C15" s="30" t="n"/>
      <c r="D15" s="30" t="inlineStr">
        <is>
          <t>Advanced I</t>
        </is>
      </c>
      <c r="E15" s="43" t="inlineStr">
        <is>
          <t>Standalone</t>
        </is>
      </c>
      <c r="F15" s="43" t="n"/>
      <c r="G15" s="43" t="n"/>
      <c r="H15" s="30">
        <f>IF($B15&lt;&gt;"","Muhammad Hafidz Ramadhan","")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esa</t>
        </is>
      </c>
      <c r="C16" s="30" t="n"/>
      <c r="D16" s="30" t="inlineStr">
        <is>
          <t>Beginner III</t>
        </is>
      </c>
      <c r="E16" s="43" t="inlineStr">
        <is>
          <t>Standalone</t>
        </is>
      </c>
      <c r="F16" s="43" t="n"/>
      <c r="G16" s="43" t="n"/>
      <c r="H16" s="30">
        <f>IF($B16&lt;&gt;"","Muhammad Hafidz Ramadhan","")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bara</t>
        </is>
      </c>
      <c r="C17" s="30" t="n"/>
      <c r="D17" s="30" t="inlineStr">
        <is>
          <t>Aquatike I</t>
        </is>
      </c>
      <c r="E17" s="43" t="inlineStr">
        <is>
          <t>PA</t>
        </is>
      </c>
      <c r="F17" s="43" t="n"/>
      <c r="G17" s="43" t="n"/>
      <c r="H17" s="30">
        <f>IF($B17&lt;&gt;"","Muhammad Hafidz Ramadhan","")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hizan</t>
        </is>
      </c>
      <c r="C18" s="30" t="n"/>
      <c r="D18" s="30" t="inlineStr">
        <is>
          <t>Beginner I</t>
        </is>
      </c>
      <c r="E18" s="43" t="inlineStr">
        <is>
          <t>Standalone</t>
        </is>
      </c>
      <c r="F18" s="43" t="n"/>
      <c r="G18" s="43" t="n"/>
      <c r="H18" s="30">
        <f>IF($B18&lt;&gt;"","Muhammad Hafidz Ramadhan","")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alzayn</t>
        </is>
      </c>
      <c r="C19" s="30" t="n"/>
      <c r="D19" s="30" t="inlineStr">
        <is>
          <t>Intermediate II</t>
        </is>
      </c>
      <c r="E19" s="43" t="inlineStr">
        <is>
          <t>Standalone</t>
        </is>
      </c>
      <c r="F19" s="43" t="n"/>
      <c r="G19" s="43" t="n"/>
      <c r="H19" s="30">
        <f>IF($B19&lt;&gt;"","Muhammad Hafidz Ramadhan","")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rafifah</t>
        </is>
      </c>
      <c r="C20" s="30" t="n"/>
      <c r="D20" s="30" t="inlineStr">
        <is>
          <t>Beginner III</t>
        </is>
      </c>
      <c r="E20" s="43" t="inlineStr">
        <is>
          <t>Standalone</t>
        </is>
      </c>
      <c r="F20" s="43" t="n"/>
      <c r="G20" s="43" t="n"/>
      <c r="H20" s="30">
        <f>IF($B20&lt;&gt;"","Muhammad Hafidz Ramadhan","")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inlineStr">
        <is>
          <t>Dhirgam Evano H</t>
        </is>
      </c>
      <c r="C21" s="30" t="n"/>
      <c r="D21" s="30" t="inlineStr">
        <is>
          <t>Beginner III</t>
        </is>
      </c>
      <c r="E21" s="43" t="inlineStr">
        <is>
          <t>Standalone</t>
        </is>
      </c>
      <c r="F21" s="43" t="n"/>
      <c r="G21" s="43" t="n"/>
      <c r="H21" s="30">
        <f>IF($B21&lt;&gt;"","Muhammad Hafidz Ramadhan","")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inlineStr">
        <is>
          <t>Shakel</t>
        </is>
      </c>
      <c r="C22" s="30" t="n"/>
      <c r="D22" s="30" t="inlineStr">
        <is>
          <t>Beginner I</t>
        </is>
      </c>
      <c r="E22" s="43" t="n"/>
      <c r="F22" s="43" t="n"/>
      <c r="G22" s="43" t="n"/>
      <c r="H22" s="30">
        <f>IF($B22&lt;&gt;"","Muhammad Hafidz Ramadhan","")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inlineStr">
        <is>
          <t>Sultan</t>
        </is>
      </c>
      <c r="C23" s="30" t="n"/>
      <c r="D23" s="30" t="inlineStr">
        <is>
          <t>Beginner I</t>
        </is>
      </c>
      <c r="E23" s="43" t="n"/>
      <c r="F23" s="43" t="n"/>
      <c r="G23" s="43" t="n"/>
      <c r="H23" s="30">
        <f>IF($B23&lt;&gt;"","Muhammad Hafidz Ramadhan","")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inlineStr">
        <is>
          <t>Putra</t>
        </is>
      </c>
      <c r="C24" s="30" t="n"/>
      <c r="D24" s="30" t="inlineStr">
        <is>
          <t>Beginner I</t>
        </is>
      </c>
      <c r="E24" s="43" t="n"/>
      <c r="F24" s="43" t="n"/>
      <c r="G24" s="43" t="n"/>
      <c r="H24" s="30">
        <f>IF($B24&lt;&gt;"","Muhammad Hafidz Ramadhan","")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IF($B25&lt;&gt;"","Muhammad Hafidz Ramadhan","")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IF($B26&lt;&gt;"","Muhammad Hafidz Ramadhan","")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IF($B27&lt;&gt;"","Muhammad Hafidz Ramadhan","")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IF($B28&lt;&gt;"","Muhammad Hafidz Ramadhan","")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IF($B29&lt;&gt;"","Muhammad Hafidz Ramadhan","")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IF($B30&lt;&gt;"","Muhammad Hafidz Ramadhan","")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IF($B31&lt;&gt;"","Muhammad Hafidz Ramadhan","")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IF($B32&lt;&gt;"","Muhammad Hafidz Ramadhan","")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IF($B33&lt;&gt;"","Muhammad Hafidz Ramadhan","")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IF($B34&lt;&gt;"","Muhammad Hafidz Ramadhan","")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IF($B35&lt;&gt;"","Muhammad Hafidz Ramadhan","")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IF($B36&lt;&gt;"","Muhammad Hafidz Ramadhan","")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IF($B37&lt;&gt;"","Muhammad Hafidz Ramadhan","")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IF($B38&lt;&gt;"","Muhammad Hafidz Ramadhan","")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IF($B39&lt;&gt;"","Muhammad Hafidz Ramadhan","")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IF($B40&lt;&gt;"","Muhammad Hafidz Ramadhan","")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IF($B41&lt;&gt;"","Muhammad Hafidz Ramadhan","")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IF($B42&lt;&gt;"","Muhammad Hafidz Ramadhan","")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IF($B43&lt;&gt;"","Muhammad Hafidz Ramadhan","")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IF($B44&lt;&gt;"","Muhammad Hafidz Ramadhan","")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IF($B45&lt;&gt;"","Muhammad Hafidz Ramadhan","")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IF($B46&lt;&gt;"","Muhammad Hafidz Ramadhan","")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IF($B47&lt;&gt;"","Muhammad Hafidz Ramadhan","")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IF($B48&lt;&gt;"","Muhammad Hafidz Ramadhan","")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IF($B49&lt;&gt;"","Muhammad Hafidz Ramadhan","")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IF($B50&lt;&gt;"","Muhammad Hafidz Ramadhan","")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IF($B51&lt;&gt;"","Muhammad Hafidz Ramadhan","")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IF($B52&lt;&gt;"","Muhammad Hafidz Ramadhan","")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IF($B53&lt;&gt;"","Muhammad Hafidz Ramadhan","")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IF($B54&lt;&gt;"","Muhammad Hafidz Ramadhan","")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Muhammad Lutfhi Mubarrok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Arsyad Abid’aliim Syahwitra</t>
        </is>
      </c>
      <c r="C5" s="30" t="n"/>
      <c r="D5" s="30" t="inlineStr">
        <is>
          <t>Intermediate I</t>
        </is>
      </c>
      <c r="E5" s="43" t="inlineStr">
        <is>
          <t>Standalone</t>
        </is>
      </c>
      <c r="F5" s="43" t="n"/>
      <c r="G5" s="43" t="n"/>
      <c r="H5" s="30">
        <f>IF($B5&lt;&gt;"","Muhammad Lutfhi Mubarrok","")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Pramudaka Gunung Segara</t>
        </is>
      </c>
      <c r="C6" s="30" t="n"/>
      <c r="D6" s="30" t="inlineStr">
        <is>
          <t>Preschool I</t>
        </is>
      </c>
      <c r="E6" s="43" t="inlineStr">
        <is>
          <t>Standalone</t>
        </is>
      </c>
      <c r="F6" s="43" t="n"/>
      <c r="G6" s="43" t="n"/>
      <c r="H6" s="30">
        <f>IF($B6&lt;&gt;"","Muhammad Lutfhi Mubarrok","")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Arkha Hamizan Rafisqy</t>
        </is>
      </c>
      <c r="C7" s="30" t="n"/>
      <c r="D7" s="30" t="inlineStr">
        <is>
          <t>Beginner I</t>
        </is>
      </c>
      <c r="E7" s="43" t="inlineStr">
        <is>
          <t>Standalone</t>
        </is>
      </c>
      <c r="F7" s="43" t="n"/>
      <c r="G7" s="43" t="n"/>
      <c r="H7" s="30">
        <f>IF($B7&lt;&gt;"","Muhammad Lutfhi Mubarrok","")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Jafin Dzaki Firdaus</t>
        </is>
      </c>
      <c r="C8" s="30" t="n"/>
      <c r="D8" s="30" t="inlineStr">
        <is>
          <t>Beginner I</t>
        </is>
      </c>
      <c r="E8" s="43" t="inlineStr">
        <is>
          <t>Standalone</t>
        </is>
      </c>
      <c r="F8" s="43" t="n"/>
      <c r="G8" s="43" t="n"/>
      <c r="H8" s="30">
        <f>IF($B8&lt;&gt;"","Muhammad Lutfhi Mubarrok","")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Afnan Rifky Fahlevi</t>
        </is>
      </c>
      <c r="C9" s="30" t="n"/>
      <c r="D9" s="30" t="inlineStr">
        <is>
          <t>Beginner I</t>
        </is>
      </c>
      <c r="E9" s="43" t="inlineStr">
        <is>
          <t>Standalone</t>
        </is>
      </c>
      <c r="F9" s="43" t="n"/>
      <c r="G9" s="43" t="n"/>
      <c r="H9" s="30">
        <f>IF($B9&lt;&gt;"","Muhammad Lutfhi Mubarrok","")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Ghassan Ahmad Gemilang</t>
        </is>
      </c>
      <c r="C10" s="30" t="n"/>
      <c r="D10" s="30" t="inlineStr">
        <is>
          <t>Beginner I</t>
        </is>
      </c>
      <c r="E10" s="43" t="inlineStr">
        <is>
          <t>Standalone</t>
        </is>
      </c>
      <c r="F10" s="43" t="n"/>
      <c r="G10" s="43" t="n"/>
      <c r="H10" s="30">
        <f>IF($B10&lt;&gt;"","Muhammad Lutfhi Mubarrok","")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Galendra Aidan Gemilang</t>
        </is>
      </c>
      <c r="C11" s="30" t="n"/>
      <c r="D11" s="30" t="inlineStr">
        <is>
          <t>Preschool I</t>
        </is>
      </c>
      <c r="E11" s="43" t="inlineStr">
        <is>
          <t>Standalone</t>
        </is>
      </c>
      <c r="F11" s="43" t="n"/>
      <c r="G11" s="43" t="n"/>
      <c r="H11" s="30">
        <f>IF($B11&lt;&gt;"","Muhammad Lutfhi Mubarrok","")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n"/>
      <c r="C12" s="30" t="n"/>
      <c r="D12" s="30" t="n"/>
      <c r="E12" s="43" t="n"/>
      <c r="F12" s="43" t="n"/>
      <c r="G12" s="43" t="n"/>
      <c r="H12" s="30">
        <f>IF($B12&lt;&gt;"","Muhammad Lutfhi Mubarrok","")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n"/>
      <c r="C13" s="30" t="n"/>
      <c r="D13" s="30" t="n"/>
      <c r="E13" s="43" t="n"/>
      <c r="F13" s="43" t="n"/>
      <c r="G13" s="43" t="n"/>
      <c r="H13" s="30">
        <f>IF($B13&lt;&gt;"","Muhammad Lutfhi Mubarrok","")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n"/>
      <c r="C14" s="30" t="n"/>
      <c r="D14" s="30" t="n"/>
      <c r="E14" s="43" t="n"/>
      <c r="F14" s="43" t="n"/>
      <c r="G14" s="43" t="n"/>
      <c r="H14" s="30">
        <f>IF($B14&lt;&gt;"","Muhammad Lutfhi Mubarrok","")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n"/>
      <c r="C15" s="30" t="n"/>
      <c r="D15" s="30" t="n"/>
      <c r="E15" s="43" t="n"/>
      <c r="F15" s="43" t="n"/>
      <c r="G15" s="43" t="n"/>
      <c r="H15" s="30">
        <f>IF($B15&lt;&gt;"","Muhammad Lutfhi Mubarrok","")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IF($B16&lt;&gt;"","Muhammad Lutfhi Mubarrok","")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IF($B17&lt;&gt;"","Muhammad Lutfhi Mubarrok","")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IF($B18&lt;&gt;"","Muhammad Lutfhi Mubarrok","")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IF($B19&lt;&gt;"","Muhammad Lutfhi Mubarrok","")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IF($B20&lt;&gt;"","Muhammad Lutfhi Mubarrok","")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IF($B21&lt;&gt;"","Muhammad Lutfhi Mubarrok","")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IF($B22&lt;&gt;"","Muhammad Lutfhi Mubarrok","")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IF($B23&lt;&gt;"","Muhammad Lutfhi Mubarrok","")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IF($B24&lt;&gt;"","Muhammad Lutfhi Mubarrok","")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IF($B25&lt;&gt;"","Muhammad Lutfhi Mubarrok","")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IF($B26&lt;&gt;"","Muhammad Lutfhi Mubarrok","")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IF($B27&lt;&gt;"","Muhammad Lutfhi Mubarrok","")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IF($B28&lt;&gt;"","Muhammad Lutfhi Mubarrok","")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IF($B29&lt;&gt;"","Muhammad Lutfhi Mubarrok","")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IF($B30&lt;&gt;"","Muhammad Lutfhi Mubarrok","")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IF($B31&lt;&gt;"","Muhammad Lutfhi Mubarrok","")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IF($B32&lt;&gt;"","Muhammad Lutfhi Mubarrok","")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IF($B33&lt;&gt;"","Muhammad Lutfhi Mubarrok","")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IF($B34&lt;&gt;"","Muhammad Lutfhi Mubarrok","")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IF($B35&lt;&gt;"","Muhammad Lutfhi Mubarrok","")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IF($B36&lt;&gt;"","Muhammad Lutfhi Mubarrok","")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IF($B37&lt;&gt;"","Muhammad Lutfhi Mubarrok","")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IF($B38&lt;&gt;"","Muhammad Lutfhi Mubarrok","")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IF($B39&lt;&gt;"","Muhammad Lutfhi Mubarrok","")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IF($B40&lt;&gt;"","Muhammad Lutfhi Mubarrok","")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IF($B41&lt;&gt;"","Muhammad Lutfhi Mubarrok","")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IF($B42&lt;&gt;"","Muhammad Lutfhi Mubarrok","")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IF($B43&lt;&gt;"","Muhammad Lutfhi Mubarrok","")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IF($B44&lt;&gt;"","Muhammad Lutfhi Mubarrok","")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IF($B45&lt;&gt;"","Muhammad Lutfhi Mubarrok","")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IF($B46&lt;&gt;"","Muhammad Lutfhi Mubarrok","")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IF($B47&lt;&gt;"","Muhammad Lutfhi Mubarrok","")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IF($B48&lt;&gt;"","Muhammad Lutfhi Mubarrok","")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IF($B49&lt;&gt;"","Muhammad Lutfhi Mubarrok","")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IF($B50&lt;&gt;"","Muhammad Lutfhi Mubarrok","")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IF($B51&lt;&gt;"","Muhammad Lutfhi Mubarrok","")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IF($B52&lt;&gt;"","Muhammad Lutfhi Mubarrok","")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IF($B53&lt;&gt;"","Muhammad Lutfhi Mubarrok","")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IF($B54&lt;&gt;"","Muhammad Lutfhi Mubarrok","")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Muhammad Nadhira Shafar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Athariz Raditya Khalfani</t>
        </is>
      </c>
      <c r="C5" s="30" t="n"/>
      <c r="D5" s="30" t="inlineStr">
        <is>
          <t>Beginner II</t>
        </is>
      </c>
      <c r="E5" s="43" t="inlineStr">
        <is>
          <t>Standalone</t>
        </is>
      </c>
      <c r="F5" s="43" t="n"/>
      <c r="G5" s="43" t="n"/>
      <c r="H5" s="30">
        <f>IF($B5&lt;&gt;"","Muhammad Nadhira Shafar","")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Anggita Rania Faranisa</t>
        </is>
      </c>
      <c r="C6" s="30" t="n"/>
      <c r="D6" s="30" t="inlineStr">
        <is>
          <t>Beginner II</t>
        </is>
      </c>
      <c r="E6" s="43" t="inlineStr">
        <is>
          <t>Standalone</t>
        </is>
      </c>
      <c r="F6" s="43" t="n"/>
      <c r="G6" s="43" t="n"/>
      <c r="H6" s="30">
        <f>IF($B6&lt;&gt;"","Muhammad Nadhira Shafar","")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Arsyila Quina Sumirat</t>
        </is>
      </c>
      <c r="C7" s="30" t="n"/>
      <c r="D7" s="30" t="inlineStr">
        <is>
          <t>Beginner II</t>
        </is>
      </c>
      <c r="E7" s="43" t="inlineStr">
        <is>
          <t>Standalone</t>
        </is>
      </c>
      <c r="F7" s="43" t="n"/>
      <c r="G7" s="43" t="n"/>
      <c r="H7" s="30">
        <f>IF($B7&lt;&gt;"","Muhammad Nadhira Shafar","")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Btary Assyifa Khairunnisa Putri Sugiharto</t>
        </is>
      </c>
      <c r="C8" s="30" t="n"/>
      <c r="D8" s="30" t="inlineStr">
        <is>
          <t>Beginner II</t>
        </is>
      </c>
      <c r="E8" s="43" t="inlineStr">
        <is>
          <t>Standalone</t>
        </is>
      </c>
      <c r="F8" s="43" t="n"/>
      <c r="G8" s="43" t="n"/>
      <c r="H8" s="30">
        <f>IF($B8&lt;&gt;"","Muhammad Nadhira Shafar","")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Jeon Yehyeong</t>
        </is>
      </c>
      <c r="C9" s="30" t="n"/>
      <c r="D9" s="30" t="inlineStr">
        <is>
          <t>Beginner II</t>
        </is>
      </c>
      <c r="E9" s="43" t="inlineStr">
        <is>
          <t>PA</t>
        </is>
      </c>
      <c r="F9" s="43" t="n"/>
      <c r="G9" s="43" t="n"/>
      <c r="H9" s="30">
        <f>IF($B9&lt;&gt;"","Muhammad Nadhira Shafar","")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Jeon Yeseong</t>
        </is>
      </c>
      <c r="C10" s="30" t="n"/>
      <c r="D10" s="30" t="inlineStr">
        <is>
          <t>Beginner I</t>
        </is>
      </c>
      <c r="E10" s="43" t="inlineStr">
        <is>
          <t>PA</t>
        </is>
      </c>
      <c r="F10" s="43" t="n"/>
      <c r="G10" s="43" t="n"/>
      <c r="H10" s="30">
        <f>IF($B10&lt;&gt;"","Muhammad Nadhira Shafar","")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M Gibran Athanolan</t>
        </is>
      </c>
      <c r="C11" s="30" t="n"/>
      <c r="D11" s="30" t="inlineStr">
        <is>
          <t>Beginner II</t>
        </is>
      </c>
      <c r="E11" s="43" t="inlineStr">
        <is>
          <t>Standalone</t>
        </is>
      </c>
      <c r="F11" s="43" t="n"/>
      <c r="G11" s="43" t="n"/>
      <c r="H11" s="30">
        <f>IF($B11&lt;&gt;"","Muhammad Nadhira Shafar","")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M Gian Arfanolan</t>
        </is>
      </c>
      <c r="C12" s="30" t="n"/>
      <c r="D12" s="30" t="inlineStr">
        <is>
          <t>Beginner I</t>
        </is>
      </c>
      <c r="E12" s="43" t="inlineStr">
        <is>
          <t>PA</t>
        </is>
      </c>
      <c r="F12" s="43" t="n"/>
      <c r="G12" s="43" t="n"/>
      <c r="H12" s="30">
        <f>IF($B12&lt;&gt;"","Muhammad Nadhira Shafar","")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Abrisam Prakasa Sumirat</t>
        </is>
      </c>
      <c r="C13" s="30" t="n"/>
      <c r="D13" s="30" t="inlineStr">
        <is>
          <t>Aquatike II</t>
        </is>
      </c>
      <c r="E13" s="43" t="inlineStr">
        <is>
          <t>Standalone</t>
        </is>
      </c>
      <c r="F13" s="43" t="n"/>
      <c r="G13" s="43" t="n"/>
      <c r="H13" s="30">
        <f>IF($B13&lt;&gt;"","Muhammad Nadhira Shafar","")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Kyan Braddo Atharazka Adraga</t>
        </is>
      </c>
      <c r="C14" s="30" t="n"/>
      <c r="D14" s="30" t="inlineStr">
        <is>
          <t>Aquatike I</t>
        </is>
      </c>
      <c r="E14" s="43" t="inlineStr">
        <is>
          <t>PA</t>
        </is>
      </c>
      <c r="F14" s="43" t="n"/>
      <c r="G14" s="43" t="n"/>
      <c r="H14" s="30">
        <f>IF($B14&lt;&gt;"","Muhammad Nadhira Shafar","")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n"/>
      <c r="C15" s="30" t="n"/>
      <c r="D15" s="30" t="n"/>
      <c r="E15" s="43" t="n"/>
      <c r="F15" s="43" t="n"/>
      <c r="G15" s="43" t="n"/>
      <c r="H15" s="30">
        <f>IF($B15&lt;&gt;"","Muhammad Nadhira Shafar","")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IF($B16&lt;&gt;"","Muhammad Nadhira Shafar","")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IF($B17&lt;&gt;"","Muhammad Nadhira Shafar","")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IF($B18&lt;&gt;"","Muhammad Nadhira Shafar","")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IF($B19&lt;&gt;"","Muhammad Nadhira Shafar","")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IF($B20&lt;&gt;"","Muhammad Nadhira Shafar","")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IF($B21&lt;&gt;"","Muhammad Nadhira Shafar","")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IF($B22&lt;&gt;"","Muhammad Nadhira Shafar","")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IF($B23&lt;&gt;"","Muhammad Nadhira Shafar","")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IF($B24&lt;&gt;"","Muhammad Nadhira Shafar","")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IF($B25&lt;&gt;"","Muhammad Nadhira Shafar","")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IF($B26&lt;&gt;"","Muhammad Nadhira Shafar","")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IF($B27&lt;&gt;"","Muhammad Nadhira Shafar","")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IF($B28&lt;&gt;"","Muhammad Nadhira Shafar","")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IF($B29&lt;&gt;"","Muhammad Nadhira Shafar","")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IF($B30&lt;&gt;"","Muhammad Nadhira Shafar","")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IF($B31&lt;&gt;"","Muhammad Nadhira Shafar","")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IF($B32&lt;&gt;"","Muhammad Nadhira Shafar","")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IF($B33&lt;&gt;"","Muhammad Nadhira Shafar","")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IF($B34&lt;&gt;"","Muhammad Nadhira Shafar","")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IF($B35&lt;&gt;"","Muhammad Nadhira Shafar","")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IF($B36&lt;&gt;"","Muhammad Nadhira Shafar","")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IF($B37&lt;&gt;"","Muhammad Nadhira Shafar","")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IF($B38&lt;&gt;"","Muhammad Nadhira Shafar","")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IF($B39&lt;&gt;"","Muhammad Nadhira Shafar","")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IF($B40&lt;&gt;"","Muhammad Nadhira Shafar","")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IF($B41&lt;&gt;"","Muhammad Nadhira Shafar","")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IF($B42&lt;&gt;"","Muhammad Nadhira Shafar","")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IF($B43&lt;&gt;"","Muhammad Nadhira Shafar","")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IF($B44&lt;&gt;"","Muhammad Nadhira Shafar","")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IF($B45&lt;&gt;"","Muhammad Nadhira Shafar","")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IF($B46&lt;&gt;"","Muhammad Nadhira Shafar","")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IF($B47&lt;&gt;"","Muhammad Nadhira Shafar","")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IF($B48&lt;&gt;"","Muhammad Nadhira Shafar","")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IF($B49&lt;&gt;"","Muhammad Nadhira Shafar","")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IF($B50&lt;&gt;"","Muhammad Nadhira Shafar","")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IF($B51&lt;&gt;"","Muhammad Nadhira Shafar","")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IF($B52&lt;&gt;"","Muhammad Nadhira Shafar","")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IF($B53&lt;&gt;"","Muhammad Nadhira Shafar","")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IF($B54&lt;&gt;"","Muhammad Nadhira Shafar","")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Muhammad Rafi Fakhrul Aiman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Lukman Achmad Jaelani</t>
        </is>
      </c>
      <c r="C5" s="30" t="n"/>
      <c r="D5" s="30" t="inlineStr">
        <is>
          <t>Swim Team Prep</t>
        </is>
      </c>
      <c r="E5" s="43" t="inlineStr">
        <is>
          <t>Standalone</t>
        </is>
      </c>
      <c r="F5" s="43" t="n"/>
      <c r="G5" s="43" t="n"/>
      <c r="H5" s="30">
        <f>IF($B5&lt;&gt;"","Muhammad Rafi Fakhrul Aiman","")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Kal Dhia Samudra</t>
        </is>
      </c>
      <c r="C6" s="30" t="n"/>
      <c r="D6" s="30" t="inlineStr">
        <is>
          <t>Swim Team Prep</t>
        </is>
      </c>
      <c r="E6" s="43" t="inlineStr">
        <is>
          <t>Standalone</t>
        </is>
      </c>
      <c r="F6" s="43" t="n"/>
      <c r="G6" s="43" t="n"/>
      <c r="H6" s="30">
        <f>IF($B6&lt;&gt;"","Muhammad Rafi Fakhrul Aiman","")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Fadhiil Fauzaan Musyaffa</t>
        </is>
      </c>
      <c r="C7" s="30" t="n"/>
      <c r="D7" s="30" t="inlineStr">
        <is>
          <t>Swim Team Prep</t>
        </is>
      </c>
      <c r="E7" s="43" t="inlineStr">
        <is>
          <t>Standalone</t>
        </is>
      </c>
      <c r="F7" s="43" t="n"/>
      <c r="G7" s="43" t="n"/>
      <c r="H7" s="30">
        <f>IF($B7&lt;&gt;"","Muhammad Rafi Fakhrul Aiman","")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Kenzo Zayn Mahendra</t>
        </is>
      </c>
      <c r="C8" s="30" t="n"/>
      <c r="D8" s="30" t="inlineStr">
        <is>
          <t>Beginner I</t>
        </is>
      </c>
      <c r="E8" s="43" t="inlineStr">
        <is>
          <t>Standalone</t>
        </is>
      </c>
      <c r="F8" s="43" t="n"/>
      <c r="G8" s="43" t="n"/>
      <c r="H8" s="30">
        <f>IF($B8&lt;&gt;"","Muhammad Rafi Fakhrul Aiman","")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Shakiel Abdillah Khalfani</t>
        </is>
      </c>
      <c r="C9" s="30" t="n"/>
      <c r="D9" s="30" t="inlineStr">
        <is>
          <t>Beginner I</t>
        </is>
      </c>
      <c r="E9" s="43" t="inlineStr">
        <is>
          <t>Standalone</t>
        </is>
      </c>
      <c r="F9" s="43" t="n"/>
      <c r="G9" s="43" t="n"/>
      <c r="H9" s="30">
        <f>IF($B9&lt;&gt;"","Muhammad Rafi Fakhrul Aiman","")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Muhammad Zhafran Ramdhan</t>
        </is>
      </c>
      <c r="C10" s="30" t="n"/>
      <c r="D10" s="30" t="inlineStr">
        <is>
          <t>Beginner III</t>
        </is>
      </c>
      <c r="E10" s="43" t="inlineStr">
        <is>
          <t>Standalone</t>
        </is>
      </c>
      <c r="F10" s="43" t="n"/>
      <c r="G10" s="43" t="n"/>
      <c r="H10" s="30">
        <f>IF($B10&lt;&gt;"","Muhammad Rafi Fakhrul Aiman","")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Muhammad Rasya Arruffy</t>
        </is>
      </c>
      <c r="C11" s="30" t="n"/>
      <c r="D11" s="30" t="inlineStr">
        <is>
          <t>Beginner I</t>
        </is>
      </c>
      <c r="E11" s="43" t="inlineStr">
        <is>
          <t>Standalone</t>
        </is>
      </c>
      <c r="F11" s="43" t="n"/>
      <c r="G11" s="43" t="n"/>
      <c r="H11" s="30">
        <f>IF($B11&lt;&gt;"","Muhammad Rafi Fakhrul Aiman","")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Muhammad Raysan Azziandru</t>
        </is>
      </c>
      <c r="C12" s="30" t="n"/>
      <c r="D12" s="30" t="inlineStr">
        <is>
          <t>Beginner I</t>
        </is>
      </c>
      <c r="E12" s="43" t="inlineStr">
        <is>
          <t>Standalone</t>
        </is>
      </c>
      <c r="F12" s="43" t="n"/>
      <c r="G12" s="43" t="n"/>
      <c r="H12" s="30">
        <f>IF($B12&lt;&gt;"","Muhammad Rafi Fakhrul Aiman","")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Muhammad Ravinzo Arrayyan</t>
        </is>
      </c>
      <c r="C13" s="30" t="n"/>
      <c r="D13" s="30" t="inlineStr">
        <is>
          <t>Beginner I</t>
        </is>
      </c>
      <c r="E13" s="43" t="inlineStr">
        <is>
          <t>Standalone</t>
        </is>
      </c>
      <c r="F13" s="43" t="n"/>
      <c r="G13" s="43" t="n"/>
      <c r="H13" s="30">
        <f>IF($B13&lt;&gt;"","Muhammad Rafi Fakhrul Aiman","")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Nevan Zaheed Abrizan</t>
        </is>
      </c>
      <c r="C14" s="30" t="n"/>
      <c r="D14" s="30" t="inlineStr">
        <is>
          <t>Beginner I</t>
        </is>
      </c>
      <c r="E14" s="43" t="inlineStr">
        <is>
          <t>Standalone</t>
        </is>
      </c>
      <c r="F14" s="43" t="n"/>
      <c r="G14" s="43" t="n"/>
      <c r="H14" s="30">
        <f>IF($B14&lt;&gt;"","Muhammad Rafi Fakhrul Aiman","")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Raffasya Alfarezel Bramantyo</t>
        </is>
      </c>
      <c r="C15" s="30" t="n"/>
      <c r="D15" s="30" t="inlineStr">
        <is>
          <t>Beginner II</t>
        </is>
      </c>
      <c r="E15" s="43" t="inlineStr">
        <is>
          <t>Standalone</t>
        </is>
      </c>
      <c r="F15" s="43" t="n"/>
      <c r="G15" s="43" t="n"/>
      <c r="H15" s="30">
        <f>IF($B15&lt;&gt;"","Muhammad Rafi Fakhrul Aiman","")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Athazaky Arkhairan</t>
        </is>
      </c>
      <c r="C16" s="30" t="n"/>
      <c r="D16" s="30" t="inlineStr">
        <is>
          <t>Beginner I</t>
        </is>
      </c>
      <c r="E16" s="43" t="inlineStr">
        <is>
          <t>Standalone</t>
        </is>
      </c>
      <c r="F16" s="43" t="n"/>
      <c r="G16" s="43" t="n"/>
      <c r="H16" s="30">
        <f>IF($B16&lt;&gt;"","Muhammad Rafi Fakhrul Aiman","")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Sheryl Vinyl Audry</t>
        </is>
      </c>
      <c r="C17" s="30" t="n"/>
      <c r="D17" s="30" t="inlineStr">
        <is>
          <t>Beginner I</t>
        </is>
      </c>
      <c r="E17" s="43" t="inlineStr">
        <is>
          <t>Standalone</t>
        </is>
      </c>
      <c r="F17" s="43" t="n"/>
      <c r="G17" s="43" t="n"/>
      <c r="H17" s="30">
        <f>IF($B17&lt;&gt;"","Muhammad Rafi Fakhrul Aiman","")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Rania Putri Firna</t>
        </is>
      </c>
      <c r="C18" s="30" t="n"/>
      <c r="D18" s="30" t="inlineStr">
        <is>
          <t>Beginner I</t>
        </is>
      </c>
      <c r="E18" s="43" t="inlineStr">
        <is>
          <t>Standalone</t>
        </is>
      </c>
      <c r="F18" s="43" t="n"/>
      <c r="G18" s="43" t="n"/>
      <c r="H18" s="30">
        <f>IF($B18&lt;&gt;"","Muhammad Rafi Fakhrul Aiman","")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Rizki Muhammad Abdullah</t>
        </is>
      </c>
      <c r="C19" s="30" t="n"/>
      <c r="D19" s="30" t="inlineStr">
        <is>
          <t>Beginner I</t>
        </is>
      </c>
      <c r="E19" s="43" t="inlineStr">
        <is>
          <t>Standalone</t>
        </is>
      </c>
      <c r="F19" s="43" t="n"/>
      <c r="G19" s="43" t="n"/>
      <c r="H19" s="30">
        <f>IF($B19&lt;&gt;"","Muhammad Rafi Fakhrul Aiman","")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Armana Syahmigea R</t>
        </is>
      </c>
      <c r="C20" s="30" t="n"/>
      <c r="D20" s="30" t="inlineStr">
        <is>
          <t>Intermediate I</t>
        </is>
      </c>
      <c r="E20" s="43" t="inlineStr">
        <is>
          <t>Standalone</t>
        </is>
      </c>
      <c r="F20" s="43" t="n"/>
      <c r="G20" s="43" t="n"/>
      <c r="H20" s="30">
        <f>IF($B20&lt;&gt;"","Muhammad Rafi Fakhrul Aiman","")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inlineStr">
        <is>
          <t>Zaidan Dhafin Irawan</t>
        </is>
      </c>
      <c r="C21" s="30" t="n"/>
      <c r="D21" s="30" t="inlineStr">
        <is>
          <t>Intermediate I</t>
        </is>
      </c>
      <c r="E21" s="43" t="inlineStr">
        <is>
          <t>Standalone</t>
        </is>
      </c>
      <c r="F21" s="43" t="n"/>
      <c r="G21" s="43" t="n"/>
      <c r="H21" s="30">
        <f>IF($B21&lt;&gt;"","Muhammad Rafi Fakhrul Aiman","")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inlineStr">
        <is>
          <t>Christian Putra Immanuel Riyanto</t>
        </is>
      </c>
      <c r="C22" s="30" t="n"/>
      <c r="D22" s="30" t="inlineStr">
        <is>
          <t>Beginner I</t>
        </is>
      </c>
      <c r="E22" s="43" t="inlineStr">
        <is>
          <t>Standalone</t>
        </is>
      </c>
      <c r="F22" s="43" t="n"/>
      <c r="G22" s="43" t="n"/>
      <c r="H22" s="30">
        <f>IF($B22&lt;&gt;"","Muhammad Rafi Fakhrul Aiman","")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inlineStr">
        <is>
          <t>Armanatha Gibran</t>
        </is>
      </c>
      <c r="C23" s="30" t="n"/>
      <c r="D23" s="30" t="inlineStr">
        <is>
          <t>Beginner III</t>
        </is>
      </c>
      <c r="E23" s="43" t="inlineStr">
        <is>
          <t>Standalone</t>
        </is>
      </c>
      <c r="F23" s="43" t="n"/>
      <c r="G23" s="43" t="n"/>
      <c r="H23" s="30">
        <f>IF($B23&lt;&gt;"","Muhammad Rafi Fakhrul Aiman","")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inlineStr">
        <is>
          <t>Adnan Yazid Munirulhaddadi</t>
        </is>
      </c>
      <c r="C24" s="30" t="n"/>
      <c r="D24" s="30" t="inlineStr">
        <is>
          <t>Preschool I</t>
        </is>
      </c>
      <c r="E24" s="43" t="inlineStr">
        <is>
          <t>Standalone</t>
        </is>
      </c>
      <c r="F24" s="43" t="n"/>
      <c r="G24" s="43" t="n"/>
      <c r="H24" s="30">
        <f>IF($B24&lt;&gt;"","Muhammad Rafi Fakhrul Aiman","")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inlineStr">
        <is>
          <t>Athaya Zaky Munirulhaddadi</t>
        </is>
      </c>
      <c r="C25" s="30" t="n"/>
      <c r="D25" s="30" t="inlineStr">
        <is>
          <t>Beginner I</t>
        </is>
      </c>
      <c r="E25" s="43" t="inlineStr">
        <is>
          <t>Standalone</t>
        </is>
      </c>
      <c r="F25" s="43" t="n"/>
      <c r="G25" s="43" t="n"/>
      <c r="H25" s="30">
        <f>IF($B25&lt;&gt;"","Muhammad Rafi Fakhrul Aiman","")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inlineStr">
        <is>
          <t>Damar Arshaq Zulfar</t>
        </is>
      </c>
      <c r="C26" s="30" t="n"/>
      <c r="D26" s="30" t="inlineStr">
        <is>
          <t>Beginner I</t>
        </is>
      </c>
      <c r="E26" s="43" t="inlineStr">
        <is>
          <t>Standalone</t>
        </is>
      </c>
      <c r="F26" s="43" t="n"/>
      <c r="G26" s="43" t="n"/>
      <c r="H26" s="30">
        <f>IF($B26&lt;&gt;"","Muhammad Rafi Fakhrul Aiman","")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inlineStr">
        <is>
          <t>Daris Rashid Faheem</t>
        </is>
      </c>
      <c r="C27" s="30" t="n"/>
      <c r="D27" s="30" t="inlineStr">
        <is>
          <t>Beginner I</t>
        </is>
      </c>
      <c r="E27" s="43" t="inlineStr">
        <is>
          <t>Standalone</t>
        </is>
      </c>
      <c r="F27" s="43" t="n"/>
      <c r="G27" s="43" t="n"/>
      <c r="H27" s="30">
        <f>IF($B27&lt;&gt;"","Muhammad Rafi Fakhrul Aiman","")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IF($B28&lt;&gt;"","Muhammad Rafi Fakhrul Aiman","")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IF($B29&lt;&gt;"","Muhammad Rafi Fakhrul Aiman","")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IF($B30&lt;&gt;"","Muhammad Rafi Fakhrul Aiman","")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IF($B31&lt;&gt;"","Muhammad Rafi Fakhrul Aiman","")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IF($B32&lt;&gt;"","Muhammad Rafi Fakhrul Aiman","")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IF($B33&lt;&gt;"","Muhammad Rafi Fakhrul Aiman","")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IF($B34&lt;&gt;"","Muhammad Rafi Fakhrul Aiman","")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IF($B35&lt;&gt;"","Muhammad Rafi Fakhrul Aiman","")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IF($B36&lt;&gt;"","Muhammad Rafi Fakhrul Aiman","")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IF($B37&lt;&gt;"","Muhammad Rafi Fakhrul Aiman","")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IF($B38&lt;&gt;"","Muhammad Rafi Fakhrul Aiman","")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IF($B39&lt;&gt;"","Muhammad Rafi Fakhrul Aiman","")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IF($B40&lt;&gt;"","Muhammad Rafi Fakhrul Aiman","")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IF($B41&lt;&gt;"","Muhammad Rafi Fakhrul Aiman","")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IF($B42&lt;&gt;"","Muhammad Rafi Fakhrul Aiman","")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IF($B43&lt;&gt;"","Muhammad Rafi Fakhrul Aiman","")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IF($B44&lt;&gt;"","Muhammad Rafi Fakhrul Aiman","")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IF($B45&lt;&gt;"","Muhammad Rafi Fakhrul Aiman","")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IF($B46&lt;&gt;"","Muhammad Rafi Fakhrul Aiman","")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IF($B47&lt;&gt;"","Muhammad Rafi Fakhrul Aiman","")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IF($B48&lt;&gt;"","Muhammad Rafi Fakhrul Aiman","")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IF($B49&lt;&gt;"","Muhammad Rafi Fakhrul Aiman","")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IF($B50&lt;&gt;"","Muhammad Rafi Fakhrul Aiman","")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IF($B51&lt;&gt;"","Muhammad Rafi Fakhrul Aiman","")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IF($B52&lt;&gt;"","Muhammad Rafi Fakhrul Aiman","")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IF($B53&lt;&gt;"","Muhammad Rafi Fakhrul Aiman","")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IF($B54&lt;&gt;"","Muhammad Rafi Fakhrul Aiman","")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Muhammad Reyvin Aryaguna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tristan afkari asyahwar</t>
        </is>
      </c>
      <c r="C5" s="30" t="n"/>
      <c r="D5" s="30" t="inlineStr">
        <is>
          <t>Beginner III</t>
        </is>
      </c>
      <c r="E5" s="43" t="inlineStr">
        <is>
          <t>Standalone</t>
        </is>
      </c>
      <c r="F5" s="43" t="n"/>
      <c r="G5" s="43" t="n"/>
      <c r="H5" s="30">
        <f>IF($B5&lt;&gt;"","Muhammad Reyvin Aryaguna","")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prabu gandhi nugroho</t>
        </is>
      </c>
      <c r="C6" s="30" t="n"/>
      <c r="D6" s="30" t="inlineStr">
        <is>
          <t>Beginner III</t>
        </is>
      </c>
      <c r="E6" s="43" t="inlineStr">
        <is>
          <t>Standalone</t>
        </is>
      </c>
      <c r="F6" s="43" t="n"/>
      <c r="G6" s="43" t="n"/>
      <c r="H6" s="30">
        <f>IF($B6&lt;&gt;"","Muhammad Reyvin Aryaguna","")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Meydiara mafanza</t>
        </is>
      </c>
      <c r="C7" s="30" t="n"/>
      <c r="D7" s="30" t="inlineStr">
        <is>
          <t>Beginner III</t>
        </is>
      </c>
      <c r="E7" s="43" t="inlineStr">
        <is>
          <t>Standalone</t>
        </is>
      </c>
      <c r="F7" s="43" t="n"/>
      <c r="G7" s="43" t="n"/>
      <c r="H7" s="30">
        <f>IF($B7&lt;&gt;"","Muhammad Reyvin Aryaguna","")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n"/>
      <c r="C8" s="30" t="n"/>
      <c r="D8" s="30" t="n"/>
      <c r="E8" s="43" t="n"/>
      <c r="F8" s="43" t="n"/>
      <c r="G8" s="43" t="n"/>
      <c r="H8" s="30">
        <f>IF($B8&lt;&gt;"","Muhammad Reyvin Aryaguna","")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n"/>
      <c r="C9" s="30" t="n"/>
      <c r="D9" s="30" t="n"/>
      <c r="E9" s="43" t="n"/>
      <c r="F9" s="43" t="n"/>
      <c r="G9" s="43" t="n"/>
      <c r="H9" s="30">
        <f>IF($B9&lt;&gt;"","Muhammad Reyvin Aryaguna","")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n"/>
      <c r="C10" s="30" t="n"/>
      <c r="D10" s="30" t="n"/>
      <c r="E10" s="43" t="n"/>
      <c r="F10" s="43" t="n"/>
      <c r="G10" s="43" t="n"/>
      <c r="H10" s="30">
        <f>IF($B10&lt;&gt;"","Muhammad Reyvin Aryaguna","")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n"/>
      <c r="C11" s="30" t="n"/>
      <c r="D11" s="30" t="n"/>
      <c r="E11" s="43" t="n"/>
      <c r="F11" s="43" t="n"/>
      <c r="G11" s="43" t="n"/>
      <c r="H11" s="30">
        <f>IF($B11&lt;&gt;"","Muhammad Reyvin Aryaguna","")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n"/>
      <c r="C12" s="30" t="n"/>
      <c r="D12" s="30" t="n"/>
      <c r="E12" s="43" t="n"/>
      <c r="F12" s="43" t="n"/>
      <c r="G12" s="43" t="n"/>
      <c r="H12" s="30">
        <f>IF($B12&lt;&gt;"","Muhammad Reyvin Aryaguna","")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n"/>
      <c r="C13" s="30" t="n"/>
      <c r="D13" s="30" t="n"/>
      <c r="E13" s="43" t="n"/>
      <c r="F13" s="43" t="n"/>
      <c r="G13" s="43" t="n"/>
      <c r="H13" s="30">
        <f>IF($B13&lt;&gt;"","Muhammad Reyvin Aryaguna","")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n"/>
      <c r="C14" s="30" t="n"/>
      <c r="D14" s="30" t="n"/>
      <c r="E14" s="43" t="n"/>
      <c r="F14" s="43" t="n"/>
      <c r="G14" s="43" t="n"/>
      <c r="H14" s="30">
        <f>IF($B14&lt;&gt;"","Muhammad Reyvin Aryaguna","")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n"/>
      <c r="C15" s="30" t="n"/>
      <c r="D15" s="30" t="n"/>
      <c r="E15" s="43" t="n"/>
      <c r="F15" s="43" t="n"/>
      <c r="G15" s="43" t="n"/>
      <c r="H15" s="30">
        <f>IF($B15&lt;&gt;"","Muhammad Reyvin Aryaguna","")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IF($B16&lt;&gt;"","Muhammad Reyvin Aryaguna","")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IF($B17&lt;&gt;"","Muhammad Reyvin Aryaguna","")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IF($B18&lt;&gt;"","Muhammad Reyvin Aryaguna","")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IF($B19&lt;&gt;"","Muhammad Reyvin Aryaguna","")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IF($B20&lt;&gt;"","Muhammad Reyvin Aryaguna","")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IF($B21&lt;&gt;"","Muhammad Reyvin Aryaguna","")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IF($B22&lt;&gt;"","Muhammad Reyvin Aryaguna","")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IF($B23&lt;&gt;"","Muhammad Reyvin Aryaguna","")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IF($B24&lt;&gt;"","Muhammad Reyvin Aryaguna","")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IF($B25&lt;&gt;"","Muhammad Reyvin Aryaguna","")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IF($B26&lt;&gt;"","Muhammad Reyvin Aryaguna","")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IF($B27&lt;&gt;"","Muhammad Reyvin Aryaguna","")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IF($B28&lt;&gt;"","Muhammad Reyvin Aryaguna","")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IF($B29&lt;&gt;"","Muhammad Reyvin Aryaguna","")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IF($B30&lt;&gt;"","Muhammad Reyvin Aryaguna","")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IF($B31&lt;&gt;"","Muhammad Reyvin Aryaguna","")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IF($B32&lt;&gt;"","Muhammad Reyvin Aryaguna","")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IF($B33&lt;&gt;"","Muhammad Reyvin Aryaguna","")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IF($B34&lt;&gt;"","Muhammad Reyvin Aryaguna","")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IF($B35&lt;&gt;"","Muhammad Reyvin Aryaguna","")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IF($B36&lt;&gt;"","Muhammad Reyvin Aryaguna","")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IF($B37&lt;&gt;"","Muhammad Reyvin Aryaguna","")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IF($B38&lt;&gt;"","Muhammad Reyvin Aryaguna","")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IF($B39&lt;&gt;"","Muhammad Reyvin Aryaguna","")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IF($B40&lt;&gt;"","Muhammad Reyvin Aryaguna","")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IF($B41&lt;&gt;"","Muhammad Reyvin Aryaguna","")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IF($B42&lt;&gt;"","Muhammad Reyvin Aryaguna","")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IF($B43&lt;&gt;"","Muhammad Reyvin Aryaguna","")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IF($B44&lt;&gt;"","Muhammad Reyvin Aryaguna","")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IF($B45&lt;&gt;"","Muhammad Reyvin Aryaguna","")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IF($B46&lt;&gt;"","Muhammad Reyvin Aryaguna","")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IF($B47&lt;&gt;"","Muhammad Reyvin Aryaguna","")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IF($B48&lt;&gt;"","Muhammad Reyvin Aryaguna","")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IF($B49&lt;&gt;"","Muhammad Reyvin Aryaguna","")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IF($B50&lt;&gt;"","Muhammad Reyvin Aryaguna","")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IF($B51&lt;&gt;"","Muhammad Reyvin Aryaguna","")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IF($B52&lt;&gt;"","Muhammad Reyvin Aryaguna","")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IF($B53&lt;&gt;"","Muhammad Reyvin Aryaguna","")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IF($B54&lt;&gt;"","Muhammad Reyvin Aryaguna","")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Nadzar Akbar Subagja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Rakhsyan Fadil Pratama</t>
        </is>
      </c>
      <c r="C5" s="30" t="n"/>
      <c r="D5" s="30" t="inlineStr">
        <is>
          <t>Beginner I</t>
        </is>
      </c>
      <c r="E5" s="43" t="inlineStr">
        <is>
          <t>Standalone</t>
        </is>
      </c>
      <c r="F5" s="43" t="n"/>
      <c r="G5" s="43" t="n"/>
      <c r="H5" s="30">
        <f>IF($B5&lt;&gt;"","Nadzar Akbar Subagja","")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Khairan Emran Abqary</t>
        </is>
      </c>
      <c r="C6" s="30" t="n"/>
      <c r="D6" s="30" t="inlineStr">
        <is>
          <t>Aquatike I</t>
        </is>
      </c>
      <c r="E6" s="43" t="inlineStr">
        <is>
          <t>Standalone</t>
        </is>
      </c>
      <c r="F6" s="43" t="n"/>
      <c r="G6" s="43" t="n"/>
      <c r="H6" s="30">
        <f>IF($B6&lt;&gt;"","Nadzar Akbar Subagja","")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Thorfin Gamma Brancilia</t>
        </is>
      </c>
      <c r="C7" s="30" t="n"/>
      <c r="D7" s="30" t="inlineStr">
        <is>
          <t>Beginner I</t>
        </is>
      </c>
      <c r="E7" s="43" t="inlineStr">
        <is>
          <t>Standalone</t>
        </is>
      </c>
      <c r="F7" s="43" t="n"/>
      <c r="G7" s="43" t="n"/>
      <c r="H7" s="30">
        <f>IF($B7&lt;&gt;"","Nadzar Akbar Subagja","")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Valeryan Aldevaro</t>
        </is>
      </c>
      <c r="C8" s="30" t="n"/>
      <c r="D8" s="30" t="inlineStr">
        <is>
          <t>Beginner I</t>
        </is>
      </c>
      <c r="E8" s="43" t="inlineStr">
        <is>
          <t>Standalone</t>
        </is>
      </c>
      <c r="F8" s="43" t="n"/>
      <c r="G8" s="43" t="n"/>
      <c r="H8" s="30">
        <f>IF($B8&lt;&gt;"","Nadzar Akbar Subagja","")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Elzein Alrafasya Noristian</t>
        </is>
      </c>
      <c r="C9" s="30" t="n"/>
      <c r="D9" s="30" t="inlineStr">
        <is>
          <t>Aquatike I</t>
        </is>
      </c>
      <c r="E9" s="43" t="inlineStr">
        <is>
          <t>Standalone</t>
        </is>
      </c>
      <c r="F9" s="43" t="n"/>
      <c r="G9" s="43" t="n"/>
      <c r="H9" s="30">
        <f>IF($B9&lt;&gt;"","Nadzar Akbar Subagja","")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Hafidza Zaina Salsabila</t>
        </is>
      </c>
      <c r="C10" s="30" t="n"/>
      <c r="D10" s="30" t="inlineStr">
        <is>
          <t>Beginner I</t>
        </is>
      </c>
      <c r="E10" s="43" t="inlineStr">
        <is>
          <t>Standalone</t>
        </is>
      </c>
      <c r="F10" s="43" t="n"/>
      <c r="G10" s="43" t="n"/>
      <c r="H10" s="30">
        <f>IF($B10&lt;&gt;"","Nadzar Akbar Subagja","")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Rafardan (SWIM THERAPY)</t>
        </is>
      </c>
      <c r="C11" s="30" t="inlineStr">
        <is>
          <t>Hydrotherapy Class</t>
        </is>
      </c>
      <c r="D11" s="30" t="n"/>
      <c r="E11" s="43" t="n"/>
      <c r="F11" s="43" t="n"/>
      <c r="G11" s="43" t="n"/>
      <c r="H11" s="30">
        <f>IF($B11&lt;&gt;"","Nadzar Akbar Subagja","")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Seon Zynatan (SWIM THERAPY)</t>
        </is>
      </c>
      <c r="C12" s="30" t="inlineStr">
        <is>
          <t>Hydrotherapy Class</t>
        </is>
      </c>
      <c r="D12" s="30" t="n"/>
      <c r="E12" s="43" t="n"/>
      <c r="F12" s="43" t="n"/>
      <c r="G12" s="43" t="n"/>
      <c r="H12" s="30">
        <f>IF($B12&lt;&gt;"","Nadzar Akbar Subagja","")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Albirru (SWIM THERAPY)</t>
        </is>
      </c>
      <c r="C13" s="30" t="inlineStr">
        <is>
          <t>Hydrotherapy Class</t>
        </is>
      </c>
      <c r="D13" s="30" t="n"/>
      <c r="E13" s="43" t="n"/>
      <c r="F13" s="43" t="n"/>
      <c r="G13" s="43" t="n"/>
      <c r="H13" s="30">
        <f>IF($B13&lt;&gt;"","Nadzar Akbar Subagja","")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Mochamad Dzaky Syah Ahlam (SWIM THERAPY)</t>
        </is>
      </c>
      <c r="C14" s="30" t="inlineStr">
        <is>
          <t>Hydrotherapy Class</t>
        </is>
      </c>
      <c r="D14" s="30" t="n"/>
      <c r="E14" s="43" t="n"/>
      <c r="F14" s="43" t="n"/>
      <c r="G14" s="43" t="n"/>
      <c r="H14" s="30">
        <f>IF($B14&lt;&gt;"","Nadzar Akbar Subagja","")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Jonam (SWIM THERAPY)</t>
        </is>
      </c>
      <c r="C15" s="30" t="inlineStr">
        <is>
          <t>Hydrotherapy Class</t>
        </is>
      </c>
      <c r="D15" s="30" t="n"/>
      <c r="E15" s="43" t="n"/>
      <c r="F15" s="43" t="n"/>
      <c r="G15" s="43" t="n"/>
      <c r="H15" s="30">
        <f>IF($B15&lt;&gt;"","Nadzar Akbar Subagja","")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Alfath Zidna (SWIM THERAPY)</t>
        </is>
      </c>
      <c r="C16" s="30" t="inlineStr">
        <is>
          <t>Hydrotherapy Class</t>
        </is>
      </c>
      <c r="D16" s="30" t="n"/>
      <c r="E16" s="43" t="n"/>
      <c r="F16" s="43" t="n"/>
      <c r="G16" s="43" t="n"/>
      <c r="H16" s="30">
        <f>IF($B16&lt;&gt;"","Nadzar Akbar Subagja","")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Raihan Putra Handayana (SWIM THERAPY)</t>
        </is>
      </c>
      <c r="C17" s="30" t="inlineStr">
        <is>
          <t>Hydrotherapy Class</t>
        </is>
      </c>
      <c r="D17" s="30" t="n"/>
      <c r="E17" s="43" t="n"/>
      <c r="F17" s="43" t="n"/>
      <c r="G17" s="43" t="n"/>
      <c r="H17" s="30">
        <f>IF($B17&lt;&gt;"","Nadzar Akbar Subagja","")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Mahiko Putra Divie (SWIM THERAPY)</t>
        </is>
      </c>
      <c r="C18" s="30" t="inlineStr">
        <is>
          <t>Hydrotherapy Class</t>
        </is>
      </c>
      <c r="D18" s="30" t="n"/>
      <c r="E18" s="43" t="n"/>
      <c r="F18" s="43" t="n"/>
      <c r="G18" s="43" t="n"/>
      <c r="H18" s="30">
        <f>IF($B18&lt;&gt;"","Nadzar Akbar Subagja","")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Bara (SWIM THERAPY)</t>
        </is>
      </c>
      <c r="C19" s="30" t="inlineStr">
        <is>
          <t>Hydrotherapy Class</t>
        </is>
      </c>
      <c r="D19" s="30" t="n"/>
      <c r="E19" s="43" t="n"/>
      <c r="F19" s="43" t="n"/>
      <c r="G19" s="43" t="n"/>
      <c r="H19" s="30">
        <f>IF($B19&lt;&gt;"","Nadzar Akbar Subagja","")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Pak Ridwan</t>
        </is>
      </c>
      <c r="C20" s="30" t="n"/>
      <c r="D20" s="30" t="n"/>
      <c r="E20" s="43" t="n"/>
      <c r="F20" s="43" t="n"/>
      <c r="G20" s="43" t="n"/>
      <c r="H20" s="30">
        <f>IF($B20&lt;&gt;"","Nadzar Akbar Subagja","")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IF($B21&lt;&gt;"","Nadzar Akbar Subagja","")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IF($B22&lt;&gt;"","Nadzar Akbar Subagja","")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IF($B23&lt;&gt;"","Nadzar Akbar Subagja","")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IF($B24&lt;&gt;"","Nadzar Akbar Subagja","")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IF($B25&lt;&gt;"","Nadzar Akbar Subagja","")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IF($B26&lt;&gt;"","Nadzar Akbar Subagja","")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IF($B27&lt;&gt;"","Nadzar Akbar Subagja","")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IF($B28&lt;&gt;"","Nadzar Akbar Subagja","")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IF($B29&lt;&gt;"","Nadzar Akbar Subagja","")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IF($B30&lt;&gt;"","Nadzar Akbar Subagja","")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IF($B31&lt;&gt;"","Nadzar Akbar Subagja","")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IF($B32&lt;&gt;"","Nadzar Akbar Subagja","")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IF($B33&lt;&gt;"","Nadzar Akbar Subagja","")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IF($B34&lt;&gt;"","Nadzar Akbar Subagja","")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IF($B35&lt;&gt;"","Nadzar Akbar Subagja","")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IF($B36&lt;&gt;"","Nadzar Akbar Subagja","")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IF($B37&lt;&gt;"","Nadzar Akbar Subagja","")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IF($B38&lt;&gt;"","Nadzar Akbar Subagja","")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IF($B39&lt;&gt;"","Nadzar Akbar Subagja","")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IF($B40&lt;&gt;"","Nadzar Akbar Subagja","")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IF($B41&lt;&gt;"","Nadzar Akbar Subagja","")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IF($B42&lt;&gt;"","Nadzar Akbar Subagja","")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IF($B43&lt;&gt;"","Nadzar Akbar Subagja","")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IF($B44&lt;&gt;"","Nadzar Akbar Subagja","")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IF($B45&lt;&gt;"","Nadzar Akbar Subagja","")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IF($B46&lt;&gt;"","Nadzar Akbar Subagja","")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IF($B47&lt;&gt;"","Nadzar Akbar Subagja","")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IF($B48&lt;&gt;"","Nadzar Akbar Subagja","")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IF($B49&lt;&gt;"","Nadzar Akbar Subagja","")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IF($B50&lt;&gt;"","Nadzar Akbar Subagja","")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IF($B51&lt;&gt;"","Nadzar Akbar Subagja","")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IF($B52&lt;&gt;"","Nadzar Akbar Subagja","")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IF($B53&lt;&gt;"","Nadzar Akbar Subagja","")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IF($B54&lt;&gt;"","Nadzar Akbar Subagja","")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Najwan Muhammad Ghalib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Bpk Aded</t>
        </is>
      </c>
      <c r="C5" s="30" t="inlineStr">
        <is>
          <t>Hydrotherapy Class</t>
        </is>
      </c>
      <c r="D5" s="30" t="n"/>
      <c r="E5" s="43" t="inlineStr">
        <is>
          <t>Standalone</t>
        </is>
      </c>
      <c r="F5" s="43" t="n"/>
      <c r="G5" s="43" t="n"/>
      <c r="H5" s="30">
        <f>IF($B5&lt;&gt;"","Najwan Muhammad Ghalib","")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Dama</t>
        </is>
      </c>
      <c r="C6" s="30" t="inlineStr">
        <is>
          <t>Hydrotherapy Class</t>
        </is>
      </c>
      <c r="D6" s="30" t="n"/>
      <c r="E6" s="43" t="inlineStr">
        <is>
          <t>Standalone</t>
        </is>
      </c>
      <c r="F6" s="43" t="n"/>
      <c r="G6" s="43" t="n"/>
      <c r="H6" s="30">
        <f>IF($B6&lt;&gt;"","Najwan Muhammad Ghalib","")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Devdas</t>
        </is>
      </c>
      <c r="C7" s="30" t="n"/>
      <c r="D7" s="30" t="inlineStr">
        <is>
          <t>Beginner II</t>
        </is>
      </c>
      <c r="E7" s="43" t="inlineStr">
        <is>
          <t>Standalone</t>
        </is>
      </c>
      <c r="F7" s="43" t="n"/>
      <c r="G7" s="43" t="n"/>
      <c r="H7" s="30">
        <f>IF($B7&lt;&gt;"","Najwan Muhammad Ghalib","")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Khairul</t>
        </is>
      </c>
      <c r="C8" s="30" t="inlineStr">
        <is>
          <t>Hydrotherapy Class</t>
        </is>
      </c>
      <c r="D8" s="30" t="n"/>
      <c r="E8" s="43" t="inlineStr">
        <is>
          <t>Standalone</t>
        </is>
      </c>
      <c r="F8" s="43" t="n"/>
      <c r="G8" s="43" t="n"/>
      <c r="H8" s="30">
        <f>IF($B8&lt;&gt;"","Najwan Muhammad Ghalib","")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Kak Didit</t>
        </is>
      </c>
      <c r="C9" s="30" t="n"/>
      <c r="D9" s="30" t="inlineStr">
        <is>
          <t>Beginner I</t>
        </is>
      </c>
      <c r="E9" s="43" t="inlineStr">
        <is>
          <t>Standalone</t>
        </is>
      </c>
      <c r="F9" s="43" t="n"/>
      <c r="G9" s="43" t="n"/>
      <c r="H9" s="30">
        <f>IF($B9&lt;&gt;"","Najwan Muhammad Ghalib","")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Gibran</t>
        </is>
      </c>
      <c r="C10" s="30" t="n"/>
      <c r="D10" s="30" t="inlineStr">
        <is>
          <t>Beginner I</t>
        </is>
      </c>
      <c r="E10" s="43" t="inlineStr">
        <is>
          <t>Standalone</t>
        </is>
      </c>
      <c r="F10" s="43" t="n"/>
      <c r="G10" s="43" t="n"/>
      <c r="H10" s="30">
        <f>IF($B10&lt;&gt;"","Najwan Muhammad Ghalib","")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Rayyan</t>
        </is>
      </c>
      <c r="C11" s="30" t="n"/>
      <c r="D11" s="30" t="inlineStr">
        <is>
          <t>Beginner I</t>
        </is>
      </c>
      <c r="E11" s="43" t="inlineStr">
        <is>
          <t>Standalone</t>
        </is>
      </c>
      <c r="F11" s="43" t="n"/>
      <c r="G11" s="43" t="n"/>
      <c r="H11" s="30">
        <f>IF($B11&lt;&gt;"","Najwan Muhammad Ghalib","")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Rami</t>
        </is>
      </c>
      <c r="C12" s="30" t="n"/>
      <c r="D12" s="30" t="inlineStr">
        <is>
          <t>Beginner I</t>
        </is>
      </c>
      <c r="E12" s="43" t="inlineStr">
        <is>
          <t>Standalone</t>
        </is>
      </c>
      <c r="F12" s="43" t="n"/>
      <c r="G12" s="43" t="n"/>
      <c r="H12" s="30">
        <f>IF($B12&lt;&gt;"","Najwan Muhammad Ghalib","")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Albarra</t>
        </is>
      </c>
      <c r="C13" s="30" t="n"/>
      <c r="D13" s="30" t="inlineStr">
        <is>
          <t>Beginner I</t>
        </is>
      </c>
      <c r="E13" s="43" t="inlineStr">
        <is>
          <t>Standalone</t>
        </is>
      </c>
      <c r="F13" s="43" t="n"/>
      <c r="G13" s="43" t="n"/>
      <c r="H13" s="30">
        <f>IF($B13&lt;&gt;"","Najwan Muhammad Ghalib","")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Mira</t>
        </is>
      </c>
      <c r="C14" s="30" t="n"/>
      <c r="D14" s="30" t="inlineStr">
        <is>
          <t>Beginner I</t>
        </is>
      </c>
      <c r="E14" s="43" t="inlineStr">
        <is>
          <t>Standalone</t>
        </is>
      </c>
      <c r="F14" s="43" t="n"/>
      <c r="G14" s="43" t="n"/>
      <c r="H14" s="30">
        <f>IF($B14&lt;&gt;"","Najwan Muhammad Ghalib","")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Asya</t>
        </is>
      </c>
      <c r="C15" s="30" t="n"/>
      <c r="D15" s="30" t="inlineStr">
        <is>
          <t>Beginner I</t>
        </is>
      </c>
      <c r="E15" s="43" t="inlineStr">
        <is>
          <t>Standalone</t>
        </is>
      </c>
      <c r="F15" s="43" t="n"/>
      <c r="G15" s="43" t="n"/>
      <c r="H15" s="30">
        <f>IF($B15&lt;&gt;"","Najwan Muhammad Ghalib","")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Gladis</t>
        </is>
      </c>
      <c r="C16" s="30" t="n"/>
      <c r="D16" s="30" t="inlineStr">
        <is>
          <t>Beginner I</t>
        </is>
      </c>
      <c r="E16" s="43" t="inlineStr">
        <is>
          <t>Standalone</t>
        </is>
      </c>
      <c r="F16" s="43" t="n"/>
      <c r="G16" s="43" t="n"/>
      <c r="H16" s="30">
        <f>IF($B16&lt;&gt;"","Najwan Muhammad Ghalib","")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Altaf</t>
        </is>
      </c>
      <c r="C17" s="30" t="inlineStr">
        <is>
          <t>Baby Swim</t>
        </is>
      </c>
      <c r="D17" s="30" t="inlineStr">
        <is>
          <t>Baby Swim I</t>
        </is>
      </c>
      <c r="E17" s="43" t="inlineStr">
        <is>
          <t>Standalone</t>
        </is>
      </c>
      <c r="F17" s="43" t="n"/>
      <c r="G17" s="43" t="n"/>
      <c r="H17" s="30">
        <f>IF($B17&lt;&gt;"","Najwan Muhammad Ghalib","")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Askara</t>
        </is>
      </c>
      <c r="C18" s="30" t="n"/>
      <c r="D18" s="30" t="inlineStr">
        <is>
          <t>Beginner I</t>
        </is>
      </c>
      <c r="E18" s="43" t="inlineStr">
        <is>
          <t>Standalone</t>
        </is>
      </c>
      <c r="F18" s="43" t="n"/>
      <c r="G18" s="43" t="n"/>
      <c r="H18" s="30">
        <f>IF($B18&lt;&gt;"","Najwan Muhammad Ghalib","")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Nazhan</t>
        </is>
      </c>
      <c r="C19" s="30" t="n"/>
      <c r="D19" s="30" t="inlineStr">
        <is>
          <t>Beginner I</t>
        </is>
      </c>
      <c r="E19" s="43" t="inlineStr">
        <is>
          <t>Standalone</t>
        </is>
      </c>
      <c r="F19" s="43" t="n"/>
      <c r="G19" s="43" t="n"/>
      <c r="H19" s="30">
        <f>IF($B19&lt;&gt;"","Najwan Muhammad Ghalib","")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Alfarazka</t>
        </is>
      </c>
      <c r="C20" s="30" t="n"/>
      <c r="D20" s="30" t="inlineStr">
        <is>
          <t>Beginner I</t>
        </is>
      </c>
      <c r="E20" s="43" t="inlineStr">
        <is>
          <t>Standalone</t>
        </is>
      </c>
      <c r="F20" s="43" t="n"/>
      <c r="G20" s="43" t="n"/>
      <c r="H20" s="30">
        <f>IF($B20&lt;&gt;"","Najwan Muhammad Ghalib","")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inlineStr">
        <is>
          <t>Kalid</t>
        </is>
      </c>
      <c r="C21" s="30" t="n"/>
      <c r="D21" s="30" t="inlineStr">
        <is>
          <t>Beginner I</t>
        </is>
      </c>
      <c r="E21" s="43" t="inlineStr">
        <is>
          <t>Standalone</t>
        </is>
      </c>
      <c r="F21" s="43" t="n"/>
      <c r="G21" s="43" t="n"/>
      <c r="H21" s="30">
        <f>IF($B21&lt;&gt;"","Najwan Muhammad Ghalib","")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inlineStr">
        <is>
          <t>Latif</t>
        </is>
      </c>
      <c r="C22" s="30" t="n"/>
      <c r="D22" s="30" t="inlineStr">
        <is>
          <t>Beginner I</t>
        </is>
      </c>
      <c r="E22" s="43" t="inlineStr">
        <is>
          <t>Standalone</t>
        </is>
      </c>
      <c r="F22" s="43" t="n"/>
      <c r="G22" s="43" t="n"/>
      <c r="H22" s="30">
        <f>IF($B22&lt;&gt;"","Najwan Muhammad Ghalib","")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inlineStr">
        <is>
          <t>Shaka</t>
        </is>
      </c>
      <c r="C23" s="30" t="n"/>
      <c r="D23" s="30" t="inlineStr">
        <is>
          <t>Beginner I</t>
        </is>
      </c>
      <c r="E23" s="43" t="inlineStr">
        <is>
          <t>Standalone</t>
        </is>
      </c>
      <c r="F23" s="43" t="n"/>
      <c r="G23" s="43" t="n"/>
      <c r="H23" s="30">
        <f>IF($B23&lt;&gt;"","Najwan Muhammad Ghalib","")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inlineStr">
        <is>
          <t>Richio</t>
        </is>
      </c>
      <c r="C24" s="30" t="n"/>
      <c r="D24" s="30" t="inlineStr">
        <is>
          <t>Beginner I</t>
        </is>
      </c>
      <c r="E24" s="43" t="inlineStr">
        <is>
          <t>Standalone</t>
        </is>
      </c>
      <c r="F24" s="43" t="n"/>
      <c r="G24" s="43" t="n"/>
      <c r="H24" s="30">
        <f>IF($B24&lt;&gt;"","Najwan Muhammad Ghalib","")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inlineStr">
        <is>
          <t>Shaquena</t>
        </is>
      </c>
      <c r="C25" s="30" t="n"/>
      <c r="D25" s="30" t="inlineStr">
        <is>
          <t>Beginner I</t>
        </is>
      </c>
      <c r="E25" s="43" t="inlineStr">
        <is>
          <t>Standalone</t>
        </is>
      </c>
      <c r="F25" s="43" t="n"/>
      <c r="G25" s="43" t="n"/>
      <c r="H25" s="30">
        <f>IF($B25&lt;&gt;"","Najwan Muhammad Ghalib","")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inlineStr">
        <is>
          <t>Shagufa</t>
        </is>
      </c>
      <c r="C26" s="30" t="n"/>
      <c r="D26" s="30" t="inlineStr">
        <is>
          <t>Beginner I</t>
        </is>
      </c>
      <c r="E26" s="43" t="inlineStr">
        <is>
          <t>Standalone</t>
        </is>
      </c>
      <c r="F26" s="43" t="n"/>
      <c r="G26" s="43" t="n"/>
      <c r="H26" s="30">
        <f>IF($B26&lt;&gt;"","Najwan Muhammad Ghalib","")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inlineStr">
        <is>
          <t>Ansel</t>
        </is>
      </c>
      <c r="C27" s="30" t="inlineStr">
        <is>
          <t>Baby Swim</t>
        </is>
      </c>
      <c r="D27" s="30" t="inlineStr">
        <is>
          <t>Baby Swim I</t>
        </is>
      </c>
      <c r="E27" s="43" t="inlineStr">
        <is>
          <t>Standalone</t>
        </is>
      </c>
      <c r="F27" s="43" t="n"/>
      <c r="G27" s="43" t="n"/>
      <c r="H27" s="30">
        <f>IF($B27&lt;&gt;"","Najwan Muhammad Ghalib","")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inlineStr">
        <is>
          <t>Bby luqman</t>
        </is>
      </c>
      <c r="C28" s="30" t="inlineStr">
        <is>
          <t>Baby Swim</t>
        </is>
      </c>
      <c r="D28" s="30" t="inlineStr">
        <is>
          <t>Baby Swim I</t>
        </is>
      </c>
      <c r="E28" s="43" t="inlineStr">
        <is>
          <t>Standalone</t>
        </is>
      </c>
      <c r="F28" s="43" t="n"/>
      <c r="G28" s="43" t="n"/>
      <c r="H28" s="30">
        <f>IF($B28&lt;&gt;"","Najwan Muhammad Ghalib","")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inlineStr">
        <is>
          <t>Inne</t>
        </is>
      </c>
      <c r="C29" s="30" t="inlineStr">
        <is>
          <t>Hydrotherapy Class</t>
        </is>
      </c>
      <c r="D29" s="30" t="n"/>
      <c r="E29" s="43" t="inlineStr">
        <is>
          <t>Standalone</t>
        </is>
      </c>
      <c r="F29" s="43" t="n"/>
      <c r="G29" s="43" t="n"/>
      <c r="H29" s="30">
        <f>IF($B29&lt;&gt;"","Najwan Muhammad Ghalib","")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IF($B30&lt;&gt;"","Najwan Muhammad Ghalib","")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IF($B31&lt;&gt;"","Najwan Muhammad Ghalib","")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IF($B32&lt;&gt;"","Najwan Muhammad Ghalib","")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IF($B33&lt;&gt;"","Najwan Muhammad Ghalib","")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IF($B34&lt;&gt;"","Najwan Muhammad Ghalib","")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IF($B35&lt;&gt;"","Najwan Muhammad Ghalib","")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IF($B36&lt;&gt;"","Najwan Muhammad Ghalib","")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IF($B37&lt;&gt;"","Najwan Muhammad Ghalib","")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IF($B38&lt;&gt;"","Najwan Muhammad Ghalib","")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IF($B39&lt;&gt;"","Najwan Muhammad Ghalib","")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IF($B40&lt;&gt;"","Najwan Muhammad Ghalib","")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IF($B41&lt;&gt;"","Najwan Muhammad Ghalib","")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IF($B42&lt;&gt;"","Najwan Muhammad Ghalib","")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IF($B43&lt;&gt;"","Najwan Muhammad Ghalib","")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IF($B44&lt;&gt;"","Najwan Muhammad Ghalib","")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IF($B45&lt;&gt;"","Najwan Muhammad Ghalib","")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IF($B46&lt;&gt;"","Najwan Muhammad Ghalib","")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IF($B47&lt;&gt;"","Najwan Muhammad Ghalib","")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IF($B48&lt;&gt;"","Najwan Muhammad Ghalib","")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IF($B49&lt;&gt;"","Najwan Muhammad Ghalib","")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IF($B50&lt;&gt;"","Najwan Muhammad Ghalib","")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IF($B51&lt;&gt;"","Najwan Muhammad Ghalib","")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IF($B52&lt;&gt;"","Najwan Muhammad Ghalib","")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IF($B53&lt;&gt;"","Najwan Muhammad Ghalib","")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IF($B54&lt;&gt;"","Najwan Muhammad Ghalib","")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Nia Rizkiyanti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Fathira Ayasya Yumna</t>
        </is>
      </c>
      <c r="C5" s="30" t="n"/>
      <c r="D5" s="30" t="inlineStr">
        <is>
          <t>Aquatike II</t>
        </is>
      </c>
      <c r="E5" s="43" t="inlineStr">
        <is>
          <t>Standalone</t>
        </is>
      </c>
      <c r="F5" s="43" t="n"/>
      <c r="G5" s="43" t="n"/>
      <c r="H5" s="30">
        <f>IF($B5&lt;&gt;"","Nia Rizkiyanti","")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Mahira Adiba</t>
        </is>
      </c>
      <c r="C6" s="30" t="n"/>
      <c r="D6" s="30" t="inlineStr">
        <is>
          <t>Preschool I</t>
        </is>
      </c>
      <c r="E6" s="43" t="inlineStr">
        <is>
          <t>Standalone</t>
        </is>
      </c>
      <c r="F6" s="43" t="n"/>
      <c r="G6" s="43" t="n"/>
      <c r="H6" s="30">
        <f>IF($B6&lt;&gt;"","Nia Rizkiyanti","")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Tsabit Miqdad Al-Arqom</t>
        </is>
      </c>
      <c r="C7" s="30" t="n"/>
      <c r="D7" s="30" t="inlineStr">
        <is>
          <t>Preschool I</t>
        </is>
      </c>
      <c r="E7" s="43" t="inlineStr">
        <is>
          <t>Standalone</t>
        </is>
      </c>
      <c r="F7" s="43" t="n"/>
      <c r="G7" s="43" t="n"/>
      <c r="H7" s="30">
        <f>IF($B7&lt;&gt;"","Nia Rizkiyanti","")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Kathya Zara Mahendra</t>
        </is>
      </c>
      <c r="C8" s="30" t="n"/>
      <c r="D8" s="30" t="inlineStr">
        <is>
          <t>Preschool I</t>
        </is>
      </c>
      <c r="E8" s="43" t="inlineStr">
        <is>
          <t>Standalone</t>
        </is>
      </c>
      <c r="F8" s="43" t="n"/>
      <c r="G8" s="43" t="n"/>
      <c r="H8" s="30">
        <f>IF($B8&lt;&gt;"","Nia Rizkiyanti","")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Nayyara Aretha Medina</t>
        </is>
      </c>
      <c r="C9" s="30" t="n"/>
      <c r="D9" s="30" t="inlineStr">
        <is>
          <t>Beginner I</t>
        </is>
      </c>
      <c r="E9" s="43" t="inlineStr">
        <is>
          <t>Standalone</t>
        </is>
      </c>
      <c r="F9" s="43" t="n"/>
      <c r="G9" s="43" t="n"/>
      <c r="H9" s="30">
        <f>IF($B9&lt;&gt;"","Nia Rizkiyanti","")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Alaric Al Zafran P</t>
        </is>
      </c>
      <c r="C10" s="30" t="n"/>
      <c r="D10" s="30" t="inlineStr">
        <is>
          <t>Beginner I</t>
        </is>
      </c>
      <c r="E10" s="43" t="inlineStr">
        <is>
          <t>Standalone</t>
        </is>
      </c>
      <c r="F10" s="43" t="n"/>
      <c r="G10" s="43" t="n"/>
      <c r="H10" s="30">
        <f>IF($B10&lt;&gt;"","Nia Rizkiyanti","")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Gianna Siwi Prameswari</t>
        </is>
      </c>
      <c r="C11" s="30" t="n"/>
      <c r="D11" s="30" t="inlineStr">
        <is>
          <t>Beginner I</t>
        </is>
      </c>
      <c r="E11" s="43" t="inlineStr">
        <is>
          <t>Standalone</t>
        </is>
      </c>
      <c r="F11" s="43" t="n"/>
      <c r="G11" s="43" t="n"/>
      <c r="H11" s="30">
        <f>IF($B11&lt;&gt;"","Nia Rizkiyanti","")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Maiza Azkadina Radya</t>
        </is>
      </c>
      <c r="C12" s="30" t="n"/>
      <c r="D12" s="30" t="inlineStr">
        <is>
          <t>Beginner I</t>
        </is>
      </c>
      <c r="E12" s="43" t="inlineStr">
        <is>
          <t>Standalone</t>
        </is>
      </c>
      <c r="F12" s="43" t="n"/>
      <c r="G12" s="43" t="n"/>
      <c r="H12" s="30">
        <f>IF($B12&lt;&gt;"","Nia Rizkiyanti","")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Alesha Shaquenna</t>
        </is>
      </c>
      <c r="C13" s="30" t="n"/>
      <c r="D13" s="30" t="inlineStr">
        <is>
          <t>Aquatike I</t>
        </is>
      </c>
      <c r="E13" s="43" t="inlineStr">
        <is>
          <t>Standalone</t>
        </is>
      </c>
      <c r="F13" s="43" t="n"/>
      <c r="G13" s="43" t="n"/>
      <c r="H13" s="30">
        <f>IF($B13&lt;&gt;"","Nia Rizkiyanti","")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Atharrayhan Rais Kasyafani</t>
        </is>
      </c>
      <c r="C14" s="30" t="n"/>
      <c r="D14" s="30" t="inlineStr">
        <is>
          <t>Preschool I</t>
        </is>
      </c>
      <c r="E14" s="43" t="inlineStr">
        <is>
          <t>Standalone</t>
        </is>
      </c>
      <c r="F14" s="43" t="n"/>
      <c r="G14" s="43" t="n"/>
      <c r="H14" s="30">
        <f>IF($B14&lt;&gt;"","Nia Rizkiyanti","")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Qinara Azkadina Lukamansyah</t>
        </is>
      </c>
      <c r="C15" s="30" t="n"/>
      <c r="D15" s="30" t="inlineStr">
        <is>
          <t>Swim Team Prep</t>
        </is>
      </c>
      <c r="E15" s="43" t="inlineStr">
        <is>
          <t>Standalone</t>
        </is>
      </c>
      <c r="F15" s="43" t="n"/>
      <c r="G15" s="43" t="n"/>
      <c r="H15" s="30">
        <f>IF($B15&lt;&gt;"","Nia Rizkiyanti","")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Quin Azzalea Lukmansyah</t>
        </is>
      </c>
      <c r="C16" s="30" t="n"/>
      <c r="D16" s="30" t="inlineStr">
        <is>
          <t>Beginner I</t>
        </is>
      </c>
      <c r="E16" s="43" t="inlineStr">
        <is>
          <t>Standalone</t>
        </is>
      </c>
      <c r="F16" s="43" t="n"/>
      <c r="G16" s="43" t="n"/>
      <c r="H16" s="30">
        <f>IF($B16&lt;&gt;"","Nia Rizkiyanti","")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Ellen Kristina Manalu (ibu2)</t>
        </is>
      </c>
      <c r="C17" s="30" t="n"/>
      <c r="D17" s="30" t="n"/>
      <c r="E17" s="43" t="n"/>
      <c r="F17" s="43" t="n"/>
      <c r="G17" s="43" t="n"/>
      <c r="H17" s="30">
        <f>IF($B17&lt;&gt;"","Nia Rizkiyanti","")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Wida Tjipta (ibu2)</t>
        </is>
      </c>
      <c r="C18" s="30" t="n"/>
      <c r="D18" s="30" t="n"/>
      <c r="E18" s="43" t="n"/>
      <c r="F18" s="43" t="n"/>
      <c r="G18" s="43" t="n"/>
      <c r="H18" s="30">
        <f>IF($B18&lt;&gt;"","Nia Rizkiyanti","")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IF($B19&lt;&gt;"","Nia Rizkiyanti","")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IF($B20&lt;&gt;"","Nia Rizkiyanti","")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IF($B21&lt;&gt;"","Nia Rizkiyanti","")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IF($B22&lt;&gt;"","Nia Rizkiyanti","")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IF($B23&lt;&gt;"","Nia Rizkiyanti","")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IF($B24&lt;&gt;"","Nia Rizkiyanti","")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IF($B25&lt;&gt;"","Nia Rizkiyanti","")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IF($B26&lt;&gt;"","Nia Rizkiyanti","")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IF($B27&lt;&gt;"","Nia Rizkiyanti","")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IF($B28&lt;&gt;"","Nia Rizkiyanti","")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IF($B29&lt;&gt;"","Nia Rizkiyanti","")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IF($B30&lt;&gt;"","Nia Rizkiyanti","")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IF($B31&lt;&gt;"","Nia Rizkiyanti","")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IF($B32&lt;&gt;"","Nia Rizkiyanti","")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IF($B33&lt;&gt;"","Nia Rizkiyanti","")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IF($B34&lt;&gt;"","Nia Rizkiyanti","")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IF($B35&lt;&gt;"","Nia Rizkiyanti","")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IF($B36&lt;&gt;"","Nia Rizkiyanti","")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IF($B37&lt;&gt;"","Nia Rizkiyanti","")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IF($B38&lt;&gt;"","Nia Rizkiyanti","")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IF($B39&lt;&gt;"","Nia Rizkiyanti","")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IF($B40&lt;&gt;"","Nia Rizkiyanti","")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IF($B41&lt;&gt;"","Nia Rizkiyanti","")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IF($B42&lt;&gt;"","Nia Rizkiyanti","")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IF($B43&lt;&gt;"","Nia Rizkiyanti","")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IF($B44&lt;&gt;"","Nia Rizkiyanti","")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IF($B45&lt;&gt;"","Nia Rizkiyanti","")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IF($B46&lt;&gt;"","Nia Rizkiyanti","")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IF($B47&lt;&gt;"","Nia Rizkiyanti","")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IF($B48&lt;&gt;"","Nia Rizkiyanti","")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IF($B49&lt;&gt;"","Nia Rizkiyanti","")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IF($B50&lt;&gt;"","Nia Rizkiyanti","")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IF($B51&lt;&gt;"","Nia Rizkiyanti","")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IF($B52&lt;&gt;"","Nia Rizkiyanti","")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IF($B53&lt;&gt;"","Nia Rizkiyanti","")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IF($B54&lt;&gt;"","Nia Rizkiyanti","")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Nur Ainillah Nabawi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Syanum Shalihah</t>
        </is>
      </c>
      <c r="C5" s="30" t="n"/>
      <c r="D5" s="30" t="inlineStr">
        <is>
          <t>Preschool I</t>
        </is>
      </c>
      <c r="E5" s="43" t="inlineStr">
        <is>
          <t>Standalone</t>
        </is>
      </c>
      <c r="F5" s="43" t="n"/>
      <c r="G5" s="43" t="n"/>
      <c r="H5" s="30">
        <f>IF($B5&lt;&gt;"","Nur Ainillah Nabawi","")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Vania Sri Susanto</t>
        </is>
      </c>
      <c r="C6" s="30" t="n"/>
      <c r="D6" s="30" t="inlineStr">
        <is>
          <t>Beginner III</t>
        </is>
      </c>
      <c r="E6" s="43" t="inlineStr">
        <is>
          <t>Standalone</t>
        </is>
      </c>
      <c r="F6" s="43" t="n"/>
      <c r="G6" s="43" t="n"/>
      <c r="H6" s="30">
        <f>IF($B6&lt;&gt;"","Nur Ainillah Nabawi","")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Albiansyah Rasyad Firrizki</t>
        </is>
      </c>
      <c r="C7" s="30" t="n"/>
      <c r="D7" s="30" t="inlineStr">
        <is>
          <t>Preschool I</t>
        </is>
      </c>
      <c r="E7" s="43" t="inlineStr">
        <is>
          <t>Standalone</t>
        </is>
      </c>
      <c r="F7" s="43" t="n"/>
      <c r="G7" s="43" t="n"/>
      <c r="H7" s="30">
        <f>IF($B7&lt;&gt;"","Nur Ainillah Nabawi","")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Shawa Aretha Sabhira</t>
        </is>
      </c>
      <c r="C8" s="30" t="n"/>
      <c r="D8" s="30" t="inlineStr">
        <is>
          <t>Intermediate I</t>
        </is>
      </c>
      <c r="E8" s="43" t="inlineStr">
        <is>
          <t>Standalone</t>
        </is>
      </c>
      <c r="F8" s="43" t="n"/>
      <c r="G8" s="43" t="n"/>
      <c r="H8" s="30">
        <f>IF($B8&lt;&gt;"","Nur Ainillah Nabawi","")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Tika Karlina</t>
        </is>
      </c>
      <c r="C9" s="30" t="n"/>
      <c r="D9" s="30" t="inlineStr">
        <is>
          <t>Beginner III</t>
        </is>
      </c>
      <c r="E9" s="43" t="inlineStr">
        <is>
          <t>Standalone</t>
        </is>
      </c>
      <c r="F9" s="43" t="n"/>
      <c r="G9" s="43" t="n"/>
      <c r="H9" s="30">
        <f>IF($B9&lt;&gt;"","Nur Ainillah Nabawi","")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Meira</t>
        </is>
      </c>
      <c r="C10" s="30" t="n"/>
      <c r="D10" s="30" t="inlineStr">
        <is>
          <t>Beginner III</t>
        </is>
      </c>
      <c r="E10" s="43" t="inlineStr">
        <is>
          <t>Standalone</t>
        </is>
      </c>
      <c r="F10" s="43" t="n"/>
      <c r="G10" s="43" t="n"/>
      <c r="H10" s="30">
        <f>IF($B10&lt;&gt;"","Nur Ainillah Nabawi","")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Sumiyati</t>
        </is>
      </c>
      <c r="C11" s="30" t="n"/>
      <c r="D11" s="30" t="inlineStr">
        <is>
          <t>Beginner III</t>
        </is>
      </c>
      <c r="E11" s="43" t="inlineStr">
        <is>
          <t>Standalone</t>
        </is>
      </c>
      <c r="F11" s="43" t="n"/>
      <c r="G11" s="43" t="n"/>
      <c r="H11" s="30">
        <f>IF($B11&lt;&gt;"","Nur Ainillah Nabawi","")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Leandra Makaila Anara Aldene</t>
        </is>
      </c>
      <c r="C12" s="30" t="n"/>
      <c r="D12" s="30" t="inlineStr">
        <is>
          <t>Beginner I</t>
        </is>
      </c>
      <c r="E12" s="43" t="inlineStr">
        <is>
          <t>Standalone</t>
        </is>
      </c>
      <c r="F12" s="43" t="n"/>
      <c r="G12" s="43" t="n"/>
      <c r="H12" s="30">
        <f>IF($B12&lt;&gt;"","Nur Ainillah Nabawi","")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Aisyah Shakila Azzahra</t>
        </is>
      </c>
      <c r="C13" s="30" t="n"/>
      <c r="D13" s="30" t="inlineStr">
        <is>
          <t>Preschool II</t>
        </is>
      </c>
      <c r="E13" s="43" t="inlineStr">
        <is>
          <t>Standalone</t>
        </is>
      </c>
      <c r="F13" s="43" t="n"/>
      <c r="G13" s="43" t="n"/>
      <c r="H13" s="30">
        <f>IF($B13&lt;&gt;"","Nur Ainillah Nabawi","")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Arkhan Kamil Andriansyah</t>
        </is>
      </c>
      <c r="C14" s="30" t="n"/>
      <c r="D14" s="30" t="inlineStr">
        <is>
          <t>Beginner III</t>
        </is>
      </c>
      <c r="E14" s="43" t="inlineStr">
        <is>
          <t>Standalone</t>
        </is>
      </c>
      <c r="F14" s="43" t="n"/>
      <c r="G14" s="43" t="n"/>
      <c r="H14" s="30">
        <f>IF($B14&lt;&gt;"","Nur Ainillah Nabawi","")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Naira Zahira Ayundi</t>
        </is>
      </c>
      <c r="C15" s="30" t="n"/>
      <c r="D15" s="30" t="inlineStr">
        <is>
          <t>Aquatike I</t>
        </is>
      </c>
      <c r="E15" s="43" t="inlineStr">
        <is>
          <t>PA</t>
        </is>
      </c>
      <c r="F15" s="43" t="n"/>
      <c r="G15" s="43" t="n"/>
      <c r="H15" s="30">
        <f>IF($B15&lt;&gt;"","Nur Ainillah Nabawi","")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Celsia Sakila Putri</t>
        </is>
      </c>
      <c r="C16" s="30" t="n"/>
      <c r="D16" s="30" t="inlineStr">
        <is>
          <t>Beginner II</t>
        </is>
      </c>
      <c r="E16" s="43" t="inlineStr">
        <is>
          <t>Standalone</t>
        </is>
      </c>
      <c r="F16" s="43" t="n"/>
      <c r="G16" s="43" t="n"/>
      <c r="H16" s="30">
        <f>IF($B16&lt;&gt;"","Nur Ainillah Nabawi","")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Indah Puspita</t>
        </is>
      </c>
      <c r="C17" s="30" t="n"/>
      <c r="D17" s="30" t="inlineStr">
        <is>
          <t>Beginner III</t>
        </is>
      </c>
      <c r="E17" s="43" t="inlineStr">
        <is>
          <t>Standalone</t>
        </is>
      </c>
      <c r="F17" s="43" t="n"/>
      <c r="G17" s="43" t="n"/>
      <c r="H17" s="30">
        <f>IF($B17&lt;&gt;"","Nur Ainillah Nabawi","")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Alesha Chayra Guinevera</t>
        </is>
      </c>
      <c r="C18" s="30" t="n"/>
      <c r="D18" s="30" t="inlineStr">
        <is>
          <t>Preschool II</t>
        </is>
      </c>
      <c r="E18" s="43" t="inlineStr">
        <is>
          <t>Standalone</t>
        </is>
      </c>
      <c r="F18" s="43" t="n"/>
      <c r="G18" s="43" t="n"/>
      <c r="H18" s="30">
        <f>IF($B18&lt;&gt;"","Nur Ainillah Nabawi","")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Yumna Anan Dara</t>
        </is>
      </c>
      <c r="C19" s="30" t="n"/>
      <c r="D19" s="30" t="inlineStr">
        <is>
          <t>Aquatike II</t>
        </is>
      </c>
      <c r="E19" s="43" t="inlineStr">
        <is>
          <t>Standalone</t>
        </is>
      </c>
      <c r="F19" s="43" t="n"/>
      <c r="G19" s="43" t="n"/>
      <c r="H19" s="30">
        <f>IF($B19&lt;&gt;"","Nur Ainillah Nabawi","")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Gendis Adzkia</t>
        </is>
      </c>
      <c r="C20" s="30" t="n"/>
      <c r="D20" s="30" t="inlineStr">
        <is>
          <t>Aquatike III</t>
        </is>
      </c>
      <c r="E20" s="43" t="inlineStr">
        <is>
          <t>Standalone</t>
        </is>
      </c>
      <c r="F20" s="43" t="n"/>
      <c r="G20" s="43" t="n"/>
      <c r="H20" s="30">
        <f>IF($B20&lt;&gt;"","Nur Ainillah Nabawi","")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inlineStr">
        <is>
          <t>Alisha Dzakiyah Khayla Razeta</t>
        </is>
      </c>
      <c r="C21" s="30" t="n"/>
      <c r="D21" s="30" t="inlineStr">
        <is>
          <t>Preschool II</t>
        </is>
      </c>
      <c r="E21" s="43" t="inlineStr">
        <is>
          <t>Standalone</t>
        </is>
      </c>
      <c r="F21" s="43" t="n"/>
      <c r="G21" s="43" t="n"/>
      <c r="H21" s="30">
        <f>IF($B21&lt;&gt;"","Nur Ainillah Nabawi","")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inlineStr">
        <is>
          <t>Shabira Andrian Alesha</t>
        </is>
      </c>
      <c r="C22" s="30" t="n"/>
      <c r="D22" s="30" t="inlineStr">
        <is>
          <t>Aquatike I</t>
        </is>
      </c>
      <c r="E22" s="43" t="inlineStr">
        <is>
          <t>PA</t>
        </is>
      </c>
      <c r="F22" s="43" t="n"/>
      <c r="G22" s="43" t="n"/>
      <c r="H22" s="30">
        <f>IF($B22&lt;&gt;"","Nur Ainillah Nabawi","")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inlineStr">
        <is>
          <t>Keinara Tafana</t>
        </is>
      </c>
      <c r="C23" s="30" t="n"/>
      <c r="D23" s="30" t="inlineStr">
        <is>
          <t>Preschool II</t>
        </is>
      </c>
      <c r="E23" s="43" t="inlineStr">
        <is>
          <t>Standalone</t>
        </is>
      </c>
      <c r="F23" s="43" t="n"/>
      <c r="G23" s="43" t="n"/>
      <c r="H23" s="30">
        <f>IF($B23&lt;&gt;"","Nur Ainillah Nabawi","")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inlineStr">
        <is>
          <t>Mikayla Shidqia</t>
        </is>
      </c>
      <c r="C24" s="30" t="n"/>
      <c r="D24" s="30" t="inlineStr">
        <is>
          <t>Aquatike I</t>
        </is>
      </c>
      <c r="E24" s="43" t="inlineStr">
        <is>
          <t>Standalone</t>
        </is>
      </c>
      <c r="F24" s="43" t="n"/>
      <c r="G24" s="43" t="n"/>
      <c r="H24" s="30">
        <f>IF($B24&lt;&gt;"","Nur Ainillah Nabawi","")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inlineStr">
        <is>
          <t>Falisha Noureen Rusdiana</t>
        </is>
      </c>
      <c r="C25" s="30" t="n"/>
      <c r="D25" s="30" t="inlineStr">
        <is>
          <t>Preschool II</t>
        </is>
      </c>
      <c r="E25" s="43" t="inlineStr">
        <is>
          <t>Standalone</t>
        </is>
      </c>
      <c r="F25" s="43" t="n"/>
      <c r="G25" s="43" t="n"/>
      <c r="H25" s="30">
        <f>IF($B25&lt;&gt;"","Nur Ainillah Nabawi","")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IF($B26&lt;&gt;"","Nur Ainillah Nabawi","")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IF($B27&lt;&gt;"","Nur Ainillah Nabawi","")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IF($B28&lt;&gt;"","Nur Ainillah Nabawi","")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IF($B29&lt;&gt;"","Nur Ainillah Nabawi","")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IF($B30&lt;&gt;"","Nur Ainillah Nabawi","")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IF($B31&lt;&gt;"","Nur Ainillah Nabawi","")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IF($B32&lt;&gt;"","Nur Ainillah Nabawi","")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IF($B33&lt;&gt;"","Nur Ainillah Nabawi","")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IF($B34&lt;&gt;"","Nur Ainillah Nabawi","")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IF($B35&lt;&gt;"","Nur Ainillah Nabawi","")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IF($B36&lt;&gt;"","Nur Ainillah Nabawi","")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IF($B37&lt;&gt;"","Nur Ainillah Nabawi","")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IF($B38&lt;&gt;"","Nur Ainillah Nabawi","")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IF($B39&lt;&gt;"","Nur Ainillah Nabawi","")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IF($B40&lt;&gt;"","Nur Ainillah Nabawi","")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IF($B41&lt;&gt;"","Nur Ainillah Nabawi","")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IF($B42&lt;&gt;"","Nur Ainillah Nabawi","")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IF($B43&lt;&gt;"","Nur Ainillah Nabawi","")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IF($B44&lt;&gt;"","Nur Ainillah Nabawi","")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IF($B45&lt;&gt;"","Nur Ainillah Nabawi","")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IF($B46&lt;&gt;"","Nur Ainillah Nabawi","")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IF($B47&lt;&gt;"","Nur Ainillah Nabawi","")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IF($B48&lt;&gt;"","Nur Ainillah Nabawi","")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IF($B49&lt;&gt;"","Nur Ainillah Nabawi","")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IF($B50&lt;&gt;"","Nur Ainillah Nabawi","")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IF($B51&lt;&gt;"","Nur Ainillah Nabawi","")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IF($B52&lt;&gt;"","Nur Ainillah Nabawi","")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IF($B53&lt;&gt;"","Nur Ainillah Nabawi","")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IF($B54&lt;&gt;"","Nur Ainillah Nabawi","")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Nurul Khairunnissa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Nayyara</t>
        </is>
      </c>
      <c r="C5" s="30" t="n"/>
      <c r="D5" s="30" t="inlineStr">
        <is>
          <t>Beginner I</t>
        </is>
      </c>
      <c r="E5" s="43" t="inlineStr">
        <is>
          <t>PA</t>
        </is>
      </c>
      <c r="F5" s="43" t="n"/>
      <c r="G5" s="43" t="n"/>
      <c r="H5" s="30">
        <f>IF($B5&lt;&gt;"","Nurul Khairunnissa","")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Almahira</t>
        </is>
      </c>
      <c r="C6" s="30" t="n"/>
      <c r="D6" s="30" t="inlineStr">
        <is>
          <t>Preschool I</t>
        </is>
      </c>
      <c r="E6" s="43" t="inlineStr">
        <is>
          <t>PA</t>
        </is>
      </c>
      <c r="F6" s="43" t="n"/>
      <c r="G6" s="43" t="n"/>
      <c r="H6" s="30">
        <f>IF($B6&lt;&gt;"","Nurul Khairunnissa","")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Shaqueena</t>
        </is>
      </c>
      <c r="C7" s="30" t="n"/>
      <c r="D7" s="30" t="inlineStr">
        <is>
          <t>Beginner I</t>
        </is>
      </c>
      <c r="E7" s="43" t="inlineStr">
        <is>
          <t>PA</t>
        </is>
      </c>
      <c r="F7" s="43" t="n"/>
      <c r="G7" s="43" t="n"/>
      <c r="H7" s="30">
        <f>IF($B7&lt;&gt;"","Nurul Khairunnissa","")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Nayla</t>
        </is>
      </c>
      <c r="C8" s="30" t="n"/>
      <c r="D8" s="30" t="inlineStr">
        <is>
          <t>Beginner I</t>
        </is>
      </c>
      <c r="E8" s="43" t="inlineStr">
        <is>
          <t>Standalone</t>
        </is>
      </c>
      <c r="F8" s="43" t="n"/>
      <c r="G8" s="43" t="n"/>
      <c r="H8" s="30">
        <f>IF($B8&lt;&gt;"","Nurul Khairunnissa","")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Nayyara</t>
        </is>
      </c>
      <c r="C9" s="30" t="n"/>
      <c r="D9" s="30" t="inlineStr">
        <is>
          <t>Preschool I</t>
        </is>
      </c>
      <c r="E9" s="43" t="inlineStr">
        <is>
          <t>PA</t>
        </is>
      </c>
      <c r="F9" s="43" t="n"/>
      <c r="G9" s="43" t="n"/>
      <c r="H9" s="30">
        <f>IF($B9&lt;&gt;"","Nurul Khairunnissa","")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Alisha Alifia</t>
        </is>
      </c>
      <c r="C10" s="30" t="n"/>
      <c r="D10" s="30" t="inlineStr">
        <is>
          <t>Beginner I</t>
        </is>
      </c>
      <c r="E10" s="43" t="inlineStr">
        <is>
          <t>PA</t>
        </is>
      </c>
      <c r="F10" s="43" t="n"/>
      <c r="G10" s="43" t="n"/>
      <c r="H10" s="30">
        <f>IF($B10&lt;&gt;"","Nurul Khairunnissa","")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Almira</t>
        </is>
      </c>
      <c r="C11" s="30" t="n"/>
      <c r="D11" s="30" t="inlineStr">
        <is>
          <t>Beginner I</t>
        </is>
      </c>
      <c r="E11" s="43" t="inlineStr">
        <is>
          <t>PA</t>
        </is>
      </c>
      <c r="F11" s="43" t="n"/>
      <c r="G11" s="43" t="n"/>
      <c r="H11" s="30">
        <f>IF($B11&lt;&gt;"","Nurul Khairunnissa","")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Aisha</t>
        </is>
      </c>
      <c r="C12" s="30" t="n"/>
      <c r="D12" s="30" t="inlineStr">
        <is>
          <t>Beginner II</t>
        </is>
      </c>
      <c r="E12" s="43" t="inlineStr">
        <is>
          <t>Standalone</t>
        </is>
      </c>
      <c r="F12" s="43" t="n"/>
      <c r="G12" s="43" t="n"/>
      <c r="H12" s="30">
        <f>IF($B12&lt;&gt;"","Nurul Khairunnissa","")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Kinanti Calista</t>
        </is>
      </c>
      <c r="C13" s="30" t="n"/>
      <c r="D13" s="30" t="inlineStr">
        <is>
          <t>Beginner II</t>
        </is>
      </c>
      <c r="E13" s="43" t="inlineStr">
        <is>
          <t>Standalone</t>
        </is>
      </c>
      <c r="F13" s="43" t="n"/>
      <c r="G13" s="43" t="n"/>
      <c r="H13" s="30">
        <f>IF($B13&lt;&gt;"","Nurul Khairunnissa","")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Alifia</t>
        </is>
      </c>
      <c r="C14" s="30" t="n"/>
      <c r="D14" s="30" t="inlineStr">
        <is>
          <t>Intermediate I</t>
        </is>
      </c>
      <c r="E14" s="43" t="inlineStr">
        <is>
          <t>Standalone</t>
        </is>
      </c>
      <c r="F14" s="43" t="n"/>
      <c r="G14" s="43" t="n"/>
      <c r="H14" s="30">
        <f>IF($B14&lt;&gt;"","Nurul Khairunnissa","")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Zea</t>
        </is>
      </c>
      <c r="C15" s="30" t="n"/>
      <c r="D15" s="30" t="inlineStr">
        <is>
          <t>Beginner I</t>
        </is>
      </c>
      <c r="E15" s="43" t="inlineStr">
        <is>
          <t>Standalone</t>
        </is>
      </c>
      <c r="F15" s="43" t="n"/>
      <c r="G15" s="43" t="n"/>
      <c r="H15" s="30">
        <f>IF($B15&lt;&gt;"","Nurul Khairunnissa","")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Maren</t>
        </is>
      </c>
      <c r="C16" s="30" t="n"/>
      <c r="D16" s="30" t="inlineStr">
        <is>
          <t>Preschool I</t>
        </is>
      </c>
      <c r="E16" s="43" t="inlineStr">
        <is>
          <t>PA</t>
        </is>
      </c>
      <c r="F16" s="43" t="n"/>
      <c r="G16" s="43" t="n"/>
      <c r="H16" s="30">
        <f>IF($B16&lt;&gt;"","Nurul Khairunnissa","")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Kanaya</t>
        </is>
      </c>
      <c r="C17" s="30" t="n"/>
      <c r="D17" s="30" t="inlineStr">
        <is>
          <t>Beginner I</t>
        </is>
      </c>
      <c r="E17" s="43" t="inlineStr">
        <is>
          <t>Standalone</t>
        </is>
      </c>
      <c r="F17" s="43" t="n"/>
      <c r="G17" s="43" t="n"/>
      <c r="H17" s="30">
        <f>IF($B17&lt;&gt;"","Nurul Khairunnissa","")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Hasna</t>
        </is>
      </c>
      <c r="C18" s="30" t="n"/>
      <c r="D18" s="30" t="n"/>
      <c r="E18" s="43" t="n"/>
      <c r="F18" s="43" t="n"/>
      <c r="G18" s="43" t="n"/>
      <c r="H18" s="30">
        <f>IF($B18&lt;&gt;"","Nurul Khairunnissa","")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constantine</t>
        </is>
      </c>
      <c r="C19" s="30" t="n"/>
      <c r="D19" s="30" t="n"/>
      <c r="E19" s="43" t="n"/>
      <c r="F19" s="43" t="n"/>
      <c r="G19" s="43" t="n"/>
      <c r="H19" s="30">
        <f>IF($B19&lt;&gt;"","Nurul Khairunnissa","")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IF($B20&lt;&gt;"","Nurul Khairunnissa","")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IF($B21&lt;&gt;"","Nurul Khairunnissa","")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IF($B22&lt;&gt;"","Nurul Khairunnissa","")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IF($B23&lt;&gt;"","Nurul Khairunnissa","")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IF($B24&lt;&gt;"","Nurul Khairunnissa","")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IF($B25&lt;&gt;"","Nurul Khairunnissa","")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IF($B26&lt;&gt;"","Nurul Khairunnissa","")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IF($B27&lt;&gt;"","Nurul Khairunnissa","")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IF($B28&lt;&gt;"","Nurul Khairunnissa","")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IF($B29&lt;&gt;"","Nurul Khairunnissa","")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IF($B30&lt;&gt;"","Nurul Khairunnissa","")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IF($B31&lt;&gt;"","Nurul Khairunnissa","")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IF($B32&lt;&gt;"","Nurul Khairunnissa","")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IF($B33&lt;&gt;"","Nurul Khairunnissa","")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IF($B34&lt;&gt;"","Nurul Khairunnissa","")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IF($B35&lt;&gt;"","Nurul Khairunnissa","")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IF($B36&lt;&gt;"","Nurul Khairunnissa","")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IF($B37&lt;&gt;"","Nurul Khairunnissa","")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IF($B38&lt;&gt;"","Nurul Khairunnissa","")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IF($B39&lt;&gt;"","Nurul Khairunnissa","")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IF($B40&lt;&gt;"","Nurul Khairunnissa","")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IF($B41&lt;&gt;"","Nurul Khairunnissa","")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IF($B42&lt;&gt;"","Nurul Khairunnissa","")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IF($B43&lt;&gt;"","Nurul Khairunnissa","")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IF($B44&lt;&gt;"","Nurul Khairunnissa","")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IF($B45&lt;&gt;"","Nurul Khairunnissa","")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IF($B46&lt;&gt;"","Nurul Khairunnissa","")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IF($B47&lt;&gt;"","Nurul Khairunnissa","")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IF($B48&lt;&gt;"","Nurul Khairunnissa","")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IF($B49&lt;&gt;"","Nurul Khairunnissa","")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IF($B50&lt;&gt;"","Nurul Khairunnissa","")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IF($B51&lt;&gt;"","Nurul Khairunnissa","")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IF($B52&lt;&gt;"","Nurul Khairunnissa","")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IF($B53&lt;&gt;"","Nurul Khairunnissa","")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IF($B54&lt;&gt;"","Nurul Khairunnissa","")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Putri Maharani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Althea Odilia Aditri</t>
        </is>
      </c>
      <c r="C5" s="30" t="n"/>
      <c r="D5" s="30" t="inlineStr">
        <is>
          <t>Beginner II</t>
        </is>
      </c>
      <c r="E5" s="43" t="n"/>
      <c r="F5" s="43" t="n"/>
      <c r="G5" s="43" t="n"/>
      <c r="H5" s="30">
        <f>IF($B5&lt;&gt;"","Putri Maharani","")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Amalia jasmine</t>
        </is>
      </c>
      <c r="C6" s="30" t="n"/>
      <c r="D6" s="30" t="inlineStr">
        <is>
          <t>Advanced I</t>
        </is>
      </c>
      <c r="E6" s="43" t="inlineStr">
        <is>
          <t>Standalone</t>
        </is>
      </c>
      <c r="F6" s="43" t="n"/>
      <c r="G6" s="43" t="n"/>
      <c r="H6" s="30">
        <f>IF($B6&lt;&gt;"","Putri Maharani","")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Elena Putri Pradana</t>
        </is>
      </c>
      <c r="C7" s="30" t="n"/>
      <c r="D7" s="30" t="inlineStr">
        <is>
          <t>Preschool I</t>
        </is>
      </c>
      <c r="E7" s="43" t="n"/>
      <c r="F7" s="43" t="n"/>
      <c r="G7" s="43" t="n"/>
      <c r="H7" s="30">
        <f>IF($B7&lt;&gt;"","Putri Maharani","")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Kalunar Gantari Amesta</t>
        </is>
      </c>
      <c r="C8" s="30" t="n"/>
      <c r="D8" s="30" t="inlineStr">
        <is>
          <t>Beginner II</t>
        </is>
      </c>
      <c r="E8" s="43" t="n"/>
      <c r="F8" s="43" t="n"/>
      <c r="G8" s="43" t="n"/>
      <c r="H8" s="30">
        <f>IF($B8&lt;&gt;"","Putri Maharani","")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Sandyakala Calief Mahdi</t>
        </is>
      </c>
      <c r="C9" s="30" t="n"/>
      <c r="D9" s="30" t="inlineStr">
        <is>
          <t>Preschool I</t>
        </is>
      </c>
      <c r="E9" s="43" t="n"/>
      <c r="F9" s="43" t="n"/>
      <c r="G9" s="43" t="n"/>
      <c r="H9" s="30">
        <f>IF($B9&lt;&gt;"","Putri Maharani","")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Hafizan Raffasya Satriadama</t>
        </is>
      </c>
      <c r="C10" s="30" t="n"/>
      <c r="D10" s="30" t="inlineStr">
        <is>
          <t>Beginner III</t>
        </is>
      </c>
      <c r="E10" s="43" t="inlineStr">
        <is>
          <t>Standalone</t>
        </is>
      </c>
      <c r="F10" s="43" t="n"/>
      <c r="G10" s="43" t="n"/>
      <c r="H10" s="30">
        <f>IF($B10&lt;&gt;"","Putri Maharani","")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MEISHARA YUMNAA ARFIANDA</t>
        </is>
      </c>
      <c r="C11" s="30" t="n"/>
      <c r="D11" s="30" t="inlineStr">
        <is>
          <t>Beginner I</t>
        </is>
      </c>
      <c r="E11" s="43" t="n"/>
      <c r="F11" s="43" t="n"/>
      <c r="G11" s="43" t="n"/>
      <c r="H11" s="30">
        <f>IF($B11&lt;&gt;"","Putri Maharani","")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Alula Lakeisha Naima</t>
        </is>
      </c>
      <c r="C12" s="30" t="n"/>
      <c r="D12" s="30" t="inlineStr">
        <is>
          <t>Beginner I</t>
        </is>
      </c>
      <c r="E12" s="43" t="n"/>
      <c r="F12" s="43" t="n"/>
      <c r="G12" s="43" t="n"/>
      <c r="H12" s="30">
        <f>IF($B12&lt;&gt;"","Putri Maharani","")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Raffasya Atharizz Calif</t>
        </is>
      </c>
      <c r="C13" s="30" t="n"/>
      <c r="D13" s="30" t="inlineStr">
        <is>
          <t>Preschool I</t>
        </is>
      </c>
      <c r="E13" s="43" t="n"/>
      <c r="F13" s="43" t="n"/>
      <c r="G13" s="43" t="n"/>
      <c r="H13" s="30">
        <f>IF($B13&lt;&gt;"","Putri Maharani","")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Shanum Zeora Levana</t>
        </is>
      </c>
      <c r="C14" s="30" t="n"/>
      <c r="D14" s="30" t="inlineStr">
        <is>
          <t>Aquatike I</t>
        </is>
      </c>
      <c r="E14" s="43" t="n"/>
      <c r="F14" s="43" t="n"/>
      <c r="G14" s="43" t="n"/>
      <c r="H14" s="30">
        <f>IF($B14&lt;&gt;"","Putri Maharani","")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Ayunda Shabrina R</t>
        </is>
      </c>
      <c r="C15" s="30" t="n"/>
      <c r="D15" s="30" t="inlineStr">
        <is>
          <t>Beginner III</t>
        </is>
      </c>
      <c r="E15" s="43" t="inlineStr">
        <is>
          <t>Standalone</t>
        </is>
      </c>
      <c r="F15" s="43" t="n"/>
      <c r="G15" s="43" t="n"/>
      <c r="H15" s="30">
        <f>IF($B15&lt;&gt;"","Putri Maharani","")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Azkia Hanna Fathiya Zahratunnisa</t>
        </is>
      </c>
      <c r="C16" s="30" t="n"/>
      <c r="D16" s="30" t="inlineStr">
        <is>
          <t>Preschool I</t>
        </is>
      </c>
      <c r="E16" s="43" t="n"/>
      <c r="F16" s="43" t="n"/>
      <c r="G16" s="43" t="n"/>
      <c r="H16" s="30">
        <f>IF($B16&lt;&gt;"","Putri Maharani","")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Aisha</t>
        </is>
      </c>
      <c r="C17" s="30" t="inlineStr">
        <is>
          <t>Baby Swim</t>
        </is>
      </c>
      <c r="D17" s="30" t="inlineStr">
        <is>
          <t>Baby Swim II</t>
        </is>
      </c>
      <c r="E17" s="43" t="n"/>
      <c r="F17" s="43" t="n"/>
      <c r="G17" s="43" t="n"/>
      <c r="H17" s="30">
        <f>IF($B17&lt;&gt;"","Putri Maharani","")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Binar Ameera Kusuma</t>
        </is>
      </c>
      <c r="C18" s="30" t="n"/>
      <c r="D18" s="30" t="inlineStr">
        <is>
          <t>Beginner I</t>
        </is>
      </c>
      <c r="E18" s="43" t="n"/>
      <c r="F18" s="43" t="n"/>
      <c r="G18" s="43" t="n"/>
      <c r="H18" s="30">
        <f>IF($B18&lt;&gt;"","Putri Maharani","")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M. Arkhan Alfarizqi</t>
        </is>
      </c>
      <c r="C19" s="30" t="n"/>
      <c r="D19" s="30" t="inlineStr">
        <is>
          <t>Preschool II</t>
        </is>
      </c>
      <c r="E19" s="43" t="n"/>
      <c r="F19" s="43" t="n"/>
      <c r="G19" s="43" t="n"/>
      <c r="H19" s="30">
        <f>IF($B19&lt;&gt;"","Putri Maharani","")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Shahreen Chayrazeta Jatmiko</t>
        </is>
      </c>
      <c r="C20" s="30" t="n"/>
      <c r="D20" s="30" t="inlineStr">
        <is>
          <t>Beginner I</t>
        </is>
      </c>
      <c r="E20" s="43" t="n"/>
      <c r="F20" s="43" t="n"/>
      <c r="G20" s="43" t="n"/>
      <c r="H20" s="30">
        <f>IF($B20&lt;&gt;"","Putri Maharani","")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inlineStr">
        <is>
          <t>Syaira Afsheena Shanum</t>
        </is>
      </c>
      <c r="C21" s="30" t="n"/>
      <c r="D21" s="30" t="inlineStr">
        <is>
          <t>Beginner I</t>
        </is>
      </c>
      <c r="E21" s="43" t="n"/>
      <c r="F21" s="43" t="n"/>
      <c r="G21" s="43" t="n"/>
      <c r="H21" s="30">
        <f>IF($B21&lt;&gt;"","Putri Maharani","")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inlineStr">
        <is>
          <t>Aruna Dikala Senja</t>
        </is>
      </c>
      <c r="C22" s="30" t="n"/>
      <c r="D22" s="30" t="inlineStr">
        <is>
          <t>Beginner I</t>
        </is>
      </c>
      <c r="E22" s="43" t="n"/>
      <c r="F22" s="43" t="n"/>
      <c r="G22" s="43" t="n"/>
      <c r="H22" s="30">
        <f>IF($B22&lt;&gt;"","Putri Maharani","")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inlineStr">
        <is>
          <t>nunna</t>
        </is>
      </c>
      <c r="C23" s="30" t="n"/>
      <c r="D23" s="30" t="inlineStr">
        <is>
          <t>Beginner I</t>
        </is>
      </c>
      <c r="E23" s="43" t="n"/>
      <c r="F23" s="43" t="n"/>
      <c r="G23" s="43" t="n"/>
      <c r="H23" s="30">
        <f>IF($B23&lt;&gt;"","Putri Maharani","")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IF($B24&lt;&gt;"","Putri Maharani","")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IF($B25&lt;&gt;"","Putri Maharani","")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IF($B26&lt;&gt;"","Putri Maharani","")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IF($B27&lt;&gt;"","Putri Maharani","")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IF($B28&lt;&gt;"","Putri Maharani","")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IF($B29&lt;&gt;"","Putri Maharani","")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IF($B30&lt;&gt;"","Putri Maharani","")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IF($B31&lt;&gt;"","Putri Maharani","")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IF($B32&lt;&gt;"","Putri Maharani","")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IF($B33&lt;&gt;"","Putri Maharani","")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IF($B34&lt;&gt;"","Putri Maharani","")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IF($B35&lt;&gt;"","Putri Maharani","")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IF($B36&lt;&gt;"","Putri Maharani","")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IF($B37&lt;&gt;"","Putri Maharani","")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IF($B38&lt;&gt;"","Putri Maharani","")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IF($B39&lt;&gt;"","Putri Maharani","")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IF($B40&lt;&gt;"","Putri Maharani","")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IF($B41&lt;&gt;"","Putri Maharani","")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IF($B42&lt;&gt;"","Putri Maharani","")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IF($B43&lt;&gt;"","Putri Maharani","")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IF($B44&lt;&gt;"","Putri Maharani","")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IF($B45&lt;&gt;"","Putri Maharani","")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IF($B46&lt;&gt;"","Putri Maharani","")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IF($B47&lt;&gt;"","Putri Maharani","")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IF($B48&lt;&gt;"","Putri Maharani","")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IF($B49&lt;&gt;"","Putri Maharani","")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IF($B50&lt;&gt;"","Putri Maharani","")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IF($B51&lt;&gt;"","Putri Maharani","")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IF($B52&lt;&gt;"","Putri Maharani","")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IF($B53&lt;&gt;"","Putri Maharani","")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IF($B54&lt;&gt;"","Putri Maharani","")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Rika Kartika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Khayla Atalia Husni</t>
        </is>
      </c>
      <c r="C5" s="30" t="n"/>
      <c r="D5" s="30" t="inlineStr">
        <is>
          <t>Beginner I</t>
        </is>
      </c>
      <c r="E5" s="43" t="inlineStr">
        <is>
          <t>Standalone</t>
        </is>
      </c>
      <c r="F5" s="43" t="n"/>
      <c r="G5" s="43" t="n"/>
      <c r="H5" s="30">
        <f>IF($B5&lt;&gt;"","Rika Kartika","")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Ejlaal Hayyan Radeya</t>
        </is>
      </c>
      <c r="C6" s="30" t="n"/>
      <c r="D6" s="30" t="inlineStr">
        <is>
          <t>Preschool II</t>
        </is>
      </c>
      <c r="E6" s="43" t="inlineStr">
        <is>
          <t>Standalone</t>
        </is>
      </c>
      <c r="F6" s="43" t="n"/>
      <c r="G6" s="43" t="n"/>
      <c r="H6" s="30">
        <f>IF($B6&lt;&gt;"","Rika Kartika","")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Syaira Ziyan Yumna</t>
        </is>
      </c>
      <c r="C7" s="30" t="n"/>
      <c r="D7" s="30" t="inlineStr">
        <is>
          <t>Beginner I</t>
        </is>
      </c>
      <c r="E7" s="43" t="inlineStr">
        <is>
          <t>Standalone</t>
        </is>
      </c>
      <c r="F7" s="43" t="n"/>
      <c r="G7" s="43" t="n"/>
      <c r="H7" s="30">
        <f>IF($B7&lt;&gt;"","Rika Kartika","")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Fakhira Azmi Ramdhani</t>
        </is>
      </c>
      <c r="C8" s="30" t="n"/>
      <c r="D8" s="30" t="inlineStr">
        <is>
          <t>Beginner I</t>
        </is>
      </c>
      <c r="E8" s="43" t="inlineStr">
        <is>
          <t>Standalone</t>
        </is>
      </c>
      <c r="F8" s="43" t="n"/>
      <c r="G8" s="43" t="n"/>
      <c r="H8" s="30">
        <f>IF($B8&lt;&gt;"","Rika Kartika","")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Aresya Diasretha</t>
        </is>
      </c>
      <c r="C9" s="30" t="n"/>
      <c r="D9" s="30" t="inlineStr">
        <is>
          <t>Beginner II</t>
        </is>
      </c>
      <c r="E9" s="43" t="inlineStr">
        <is>
          <t>Standalone</t>
        </is>
      </c>
      <c r="F9" s="43" t="n"/>
      <c r="G9" s="43" t="n"/>
      <c r="H9" s="30">
        <f>IF($B9&lt;&gt;"","Rika Kartika","")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Annessa D</t>
        </is>
      </c>
      <c r="C10" s="30" t="n"/>
      <c r="D10" s="30" t="inlineStr">
        <is>
          <t>Beginner I</t>
        </is>
      </c>
      <c r="E10" s="43" t="inlineStr">
        <is>
          <t>Standalone</t>
        </is>
      </c>
      <c r="F10" s="43" t="n"/>
      <c r="G10" s="43" t="n"/>
      <c r="H10" s="30">
        <f>IF($B10&lt;&gt;"","Rika Kartika","")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Kalea Embun Sabiya</t>
        </is>
      </c>
      <c r="C11" s="30" t="n"/>
      <c r="D11" s="30" t="inlineStr">
        <is>
          <t>Beginner II</t>
        </is>
      </c>
      <c r="E11" s="43" t="inlineStr">
        <is>
          <t>Standalone</t>
        </is>
      </c>
      <c r="F11" s="43" t="n"/>
      <c r="G11" s="43" t="n"/>
      <c r="H11" s="30">
        <f>IF($B11&lt;&gt;"","Rika Kartika","")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Keanu Muhammad Askara</t>
        </is>
      </c>
      <c r="C12" s="30" t="n"/>
      <c r="D12" s="30" t="inlineStr">
        <is>
          <t>Beginner I</t>
        </is>
      </c>
      <c r="E12" s="43" t="inlineStr">
        <is>
          <t>Standalone</t>
        </is>
      </c>
      <c r="F12" s="43" t="n"/>
      <c r="G12" s="43" t="n"/>
      <c r="H12" s="30">
        <f>IF($B12&lt;&gt;"","Rika Kartika","")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Arumi Sachi Maulidya</t>
        </is>
      </c>
      <c r="C13" s="30" t="n"/>
      <c r="D13" s="30" t="inlineStr">
        <is>
          <t>Beginner I</t>
        </is>
      </c>
      <c r="E13" s="43" t="inlineStr">
        <is>
          <t>Standalone</t>
        </is>
      </c>
      <c r="F13" s="43" t="n"/>
      <c r="G13" s="43" t="n"/>
      <c r="H13" s="30">
        <f>IF($B13&lt;&gt;"","Rika Kartika","")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Alesha Rena Meimiga Septriana</t>
        </is>
      </c>
      <c r="C14" s="30" t="n"/>
      <c r="D14" s="30" t="inlineStr">
        <is>
          <t>Beginner II</t>
        </is>
      </c>
      <c r="E14" s="43" t="inlineStr">
        <is>
          <t>Standalone</t>
        </is>
      </c>
      <c r="F14" s="43" t="n"/>
      <c r="G14" s="43" t="n"/>
      <c r="H14" s="30">
        <f>IF($B14&lt;&gt;"","Rika Kartika","")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Ahmad Habibi</t>
        </is>
      </c>
      <c r="C15" s="30" t="n"/>
      <c r="D15" s="30" t="inlineStr">
        <is>
          <t>Aquatike I</t>
        </is>
      </c>
      <c r="E15" s="43" t="inlineStr">
        <is>
          <t>Standalone</t>
        </is>
      </c>
      <c r="F15" s="43" t="n"/>
      <c r="G15" s="43" t="n"/>
      <c r="H15" s="30">
        <f>IF($B15&lt;&gt;"","Rika Kartika","")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Intan Anindya Hidayah</t>
        </is>
      </c>
      <c r="C16" s="30" t="n"/>
      <c r="D16" s="30" t="inlineStr">
        <is>
          <t>Beginner I</t>
        </is>
      </c>
      <c r="E16" s="43" t="inlineStr">
        <is>
          <t>Standalone</t>
        </is>
      </c>
      <c r="F16" s="43" t="n"/>
      <c r="G16" s="43" t="n"/>
      <c r="H16" s="30">
        <f>IF($B16&lt;&gt;"","Rika Kartika","")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Assyifa</t>
        </is>
      </c>
      <c r="C17" s="30" t="n"/>
      <c r="D17" s="30" t="inlineStr">
        <is>
          <t>Beginner I</t>
        </is>
      </c>
      <c r="E17" s="43" t="inlineStr">
        <is>
          <t>Standalone</t>
        </is>
      </c>
      <c r="F17" s="43" t="n"/>
      <c r="G17" s="43" t="n"/>
      <c r="H17" s="30">
        <f>IF($B17&lt;&gt;"","Rika Kartika","")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Ibu Reni</t>
        </is>
      </c>
      <c r="C18" s="30" t="n"/>
      <c r="D18" s="30" t="n"/>
      <c r="E18" s="43" t="inlineStr">
        <is>
          <t>Standalone</t>
        </is>
      </c>
      <c r="F18" s="43" t="n"/>
      <c r="G18" s="43" t="n"/>
      <c r="H18" s="30">
        <f>IF($B18&lt;&gt;"","Rika Kartika","")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Ibu Ami</t>
        </is>
      </c>
      <c r="C19" s="30" t="n"/>
      <c r="D19" s="30" t="n"/>
      <c r="E19" s="43" t="inlineStr">
        <is>
          <t>Standalone</t>
        </is>
      </c>
      <c r="F19" s="43" t="n"/>
      <c r="G19" s="43" t="n"/>
      <c r="H19" s="30">
        <f>IF($B19&lt;&gt;"","Rika Kartika","")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Sean</t>
        </is>
      </c>
      <c r="C20" s="30" t="n"/>
      <c r="D20" s="30" t="inlineStr">
        <is>
          <t>Beginner II</t>
        </is>
      </c>
      <c r="E20" s="43" t="inlineStr">
        <is>
          <t>Standalone</t>
        </is>
      </c>
      <c r="F20" s="43" t="n"/>
      <c r="G20" s="43" t="n"/>
      <c r="H20" s="30">
        <f>IF($B20&lt;&gt;"","Rika Kartika","")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inlineStr">
        <is>
          <t>Calluella</t>
        </is>
      </c>
      <c r="C21" s="30" t="n"/>
      <c r="D21" s="30" t="n"/>
      <c r="E21" s="43" t="inlineStr">
        <is>
          <t>Standalone</t>
        </is>
      </c>
      <c r="F21" s="43" t="n"/>
      <c r="G21" s="43" t="n"/>
      <c r="H21" s="30">
        <f>IF($B21&lt;&gt;"","Rika Kartika","")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inlineStr">
        <is>
          <t>Deandra</t>
        </is>
      </c>
      <c r="C22" s="30" t="n"/>
      <c r="D22" s="30" t="n"/>
      <c r="E22" s="43" t="inlineStr">
        <is>
          <t>Standalone</t>
        </is>
      </c>
      <c r="F22" s="43" t="n"/>
      <c r="G22" s="43" t="n"/>
      <c r="H22" s="30">
        <f>IF($B22&lt;&gt;"","Rika Kartika","")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inlineStr">
        <is>
          <t>Lathisa</t>
        </is>
      </c>
      <c r="C23" s="30" t="n"/>
      <c r="D23" s="30" t="n"/>
      <c r="E23" s="43" t="inlineStr">
        <is>
          <t>Standalone</t>
        </is>
      </c>
      <c r="F23" s="43" t="n"/>
      <c r="G23" s="43" t="n"/>
      <c r="H23" s="30">
        <f>IF($B23&lt;&gt;"","Rika Kartika","")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IF($B24&lt;&gt;"","Rika Kartika","")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IF($B25&lt;&gt;"","Rika Kartika","")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IF($B26&lt;&gt;"","Rika Kartika","")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IF($B27&lt;&gt;"","Rika Kartika","")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IF($B28&lt;&gt;"","Rika Kartika","")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IF($B29&lt;&gt;"","Rika Kartika","")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IF($B30&lt;&gt;"","Rika Kartika","")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IF($B31&lt;&gt;"","Rika Kartika","")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IF($B32&lt;&gt;"","Rika Kartika","")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IF($B33&lt;&gt;"","Rika Kartika","")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IF($B34&lt;&gt;"","Rika Kartika","")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IF($B35&lt;&gt;"","Rika Kartika","")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IF($B36&lt;&gt;"","Rika Kartika","")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IF($B37&lt;&gt;"","Rika Kartika","")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IF($B38&lt;&gt;"","Rika Kartika","")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IF($B39&lt;&gt;"","Rika Kartika","")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IF($B40&lt;&gt;"","Rika Kartika","")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IF($B41&lt;&gt;"","Rika Kartika","")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IF($B42&lt;&gt;"","Rika Kartika","")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IF($B43&lt;&gt;"","Rika Kartika","")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IF($B44&lt;&gt;"","Rika Kartika","")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IF($B45&lt;&gt;"","Rika Kartika","")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IF($B46&lt;&gt;"","Rika Kartika","")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IF($B47&lt;&gt;"","Rika Kartika","")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IF($B48&lt;&gt;"","Rika Kartika","")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IF($B49&lt;&gt;"","Rika Kartika","")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IF($B50&lt;&gt;"","Rika Kartika","")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IF($B51&lt;&gt;"","Rika Kartika","")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IF($B52&lt;&gt;"","Rika Kartika","")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IF($B53&lt;&gt;"","Rika Kartika","")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IF($B54&lt;&gt;"","Rika Kartika","")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Riva Nur Fathiya Safitri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XAVIERA THAVISA</t>
        </is>
      </c>
      <c r="C5" s="30" t="n"/>
      <c r="D5" s="30" t="inlineStr">
        <is>
          <t>Intermediate I</t>
        </is>
      </c>
      <c r="E5" s="43" t="n"/>
      <c r="F5" s="43" t="n"/>
      <c r="G5" s="43" t="n"/>
      <c r="H5" s="30">
        <f>IF($B5&lt;&gt;"","Riva Nur Fathiya Safitri","")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NAYLA PUTRI</t>
        </is>
      </c>
      <c r="C6" s="30" t="n"/>
      <c r="D6" s="30" t="inlineStr">
        <is>
          <t>Beginner II</t>
        </is>
      </c>
      <c r="E6" s="43" t="n"/>
      <c r="F6" s="43" t="n"/>
      <c r="G6" s="43" t="n"/>
      <c r="H6" s="30">
        <f>IF($B6&lt;&gt;"","Riva Nur Fathiya Safitri","")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NAZWA ISNAYA</t>
        </is>
      </c>
      <c r="C7" s="30" t="n"/>
      <c r="D7" s="30" t="inlineStr">
        <is>
          <t>Preschool I</t>
        </is>
      </c>
      <c r="E7" s="43" t="n"/>
      <c r="F7" s="43" t="n"/>
      <c r="G7" s="43" t="n"/>
      <c r="H7" s="30">
        <f>IF($B7&lt;&gt;"","Riva Nur Fathiya Safitri","")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AISYAH</t>
        </is>
      </c>
      <c r="C8" s="30" t="inlineStr">
        <is>
          <t>Baby Swim</t>
        </is>
      </c>
      <c r="D8" s="30" t="inlineStr">
        <is>
          <t>Baby Swim I</t>
        </is>
      </c>
      <c r="E8" s="43" t="n"/>
      <c r="F8" s="43" t="n"/>
      <c r="G8" s="43" t="n"/>
      <c r="H8" s="30">
        <f>IF($B8&lt;&gt;"","Riva Nur Fathiya Safitri","")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KAISAA HAANIM</t>
        </is>
      </c>
      <c r="C9" s="30" t="n"/>
      <c r="D9" s="30" t="inlineStr">
        <is>
          <t>Beginner II</t>
        </is>
      </c>
      <c r="E9" s="43" t="n"/>
      <c r="F9" s="43" t="n"/>
      <c r="G9" s="43" t="n"/>
      <c r="H9" s="30">
        <f>IF($B9&lt;&gt;"","Riva Nur Fathiya Safitri","")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SATRIA MUHAMMAD SOPIAN</t>
        </is>
      </c>
      <c r="C10" s="30" t="n"/>
      <c r="D10" s="30" t="inlineStr">
        <is>
          <t>Intermediate II</t>
        </is>
      </c>
      <c r="E10" s="43" t="n"/>
      <c r="F10" s="43" t="n"/>
      <c r="G10" s="43" t="n"/>
      <c r="H10" s="30">
        <f>IF($B10&lt;&gt;"","Riva Nur Fathiya Safitri","")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NASYA</t>
        </is>
      </c>
      <c r="C11" s="30" t="n"/>
      <c r="D11" s="30" t="inlineStr">
        <is>
          <t>Preschool I</t>
        </is>
      </c>
      <c r="E11" s="43" t="n"/>
      <c r="F11" s="43" t="n"/>
      <c r="G11" s="43" t="n"/>
      <c r="H11" s="30">
        <f>IF($B11&lt;&gt;"","Riva Nur Fathiya Safitri","")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ALDEVARO</t>
        </is>
      </c>
      <c r="C12" s="30" t="n"/>
      <c r="D12" s="30" t="inlineStr">
        <is>
          <t>Beginner II</t>
        </is>
      </c>
      <c r="E12" s="43" t="n"/>
      <c r="F12" s="43" t="n"/>
      <c r="G12" s="43" t="n"/>
      <c r="H12" s="30">
        <f>IF($B12&lt;&gt;"","Riva Nur Fathiya Safitri","")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ALETHA AZWA HALONA</t>
        </is>
      </c>
      <c r="C13" s="30" t="n"/>
      <c r="D13" s="30" t="inlineStr">
        <is>
          <t>Swim Team Prep</t>
        </is>
      </c>
      <c r="E13" s="43" t="n"/>
      <c r="F13" s="43" t="n"/>
      <c r="G13" s="43" t="n"/>
      <c r="H13" s="30">
        <f>IF($B13&lt;&gt;"","Riva Nur Fathiya Safitri","")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JAVIER</t>
        </is>
      </c>
      <c r="C14" s="30" t="n"/>
      <c r="D14" s="30" t="inlineStr">
        <is>
          <t>Beginner I</t>
        </is>
      </c>
      <c r="E14" s="43" t="n"/>
      <c r="F14" s="43" t="n"/>
      <c r="G14" s="43" t="n"/>
      <c r="H14" s="30">
        <f>IF($B14&lt;&gt;"","Riva Nur Fathiya Safitri","")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n"/>
      <c r="C15" s="30" t="n"/>
      <c r="D15" s="30" t="n"/>
      <c r="E15" s="43" t="n"/>
      <c r="F15" s="43" t="n"/>
      <c r="G15" s="43" t="n"/>
      <c r="H15" s="30">
        <f>IF($B15&lt;&gt;"","Riva Nur Fathiya Safitri","")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IF($B16&lt;&gt;"","Riva Nur Fathiya Safitri","")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IF($B17&lt;&gt;"","Riva Nur Fathiya Safitri","")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IF($B18&lt;&gt;"","Riva Nur Fathiya Safitri","")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IF($B19&lt;&gt;"","Riva Nur Fathiya Safitri","")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IF($B20&lt;&gt;"","Riva Nur Fathiya Safitri","")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IF($B21&lt;&gt;"","Riva Nur Fathiya Safitri","")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IF($B22&lt;&gt;"","Riva Nur Fathiya Safitri","")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IF($B23&lt;&gt;"","Riva Nur Fathiya Safitri","")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IF($B24&lt;&gt;"","Riva Nur Fathiya Safitri","")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IF($B25&lt;&gt;"","Riva Nur Fathiya Safitri","")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IF($B26&lt;&gt;"","Riva Nur Fathiya Safitri","")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IF($B27&lt;&gt;"","Riva Nur Fathiya Safitri","")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IF($B28&lt;&gt;"","Riva Nur Fathiya Safitri","")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IF($B29&lt;&gt;"","Riva Nur Fathiya Safitri","")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IF($B30&lt;&gt;"","Riva Nur Fathiya Safitri","")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IF($B31&lt;&gt;"","Riva Nur Fathiya Safitri","")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IF($B32&lt;&gt;"","Riva Nur Fathiya Safitri","")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IF($B33&lt;&gt;"","Riva Nur Fathiya Safitri","")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IF($B34&lt;&gt;"","Riva Nur Fathiya Safitri","")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IF($B35&lt;&gt;"","Riva Nur Fathiya Safitri","")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IF($B36&lt;&gt;"","Riva Nur Fathiya Safitri","")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IF($B37&lt;&gt;"","Riva Nur Fathiya Safitri","")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IF($B38&lt;&gt;"","Riva Nur Fathiya Safitri","")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IF($B39&lt;&gt;"","Riva Nur Fathiya Safitri","")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IF($B40&lt;&gt;"","Riva Nur Fathiya Safitri","")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IF($B41&lt;&gt;"","Riva Nur Fathiya Safitri","")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IF($B42&lt;&gt;"","Riva Nur Fathiya Safitri","")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IF($B43&lt;&gt;"","Riva Nur Fathiya Safitri","")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IF($B44&lt;&gt;"","Riva Nur Fathiya Safitri","")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IF($B45&lt;&gt;"","Riva Nur Fathiya Safitri","")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IF($B46&lt;&gt;"","Riva Nur Fathiya Safitri","")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IF($B47&lt;&gt;"","Riva Nur Fathiya Safitri","")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IF($B48&lt;&gt;"","Riva Nur Fathiya Safitri","")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IF($B49&lt;&gt;"","Riva Nur Fathiya Safitri","")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IF($B50&lt;&gt;"","Riva Nur Fathiya Safitri","")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IF($B51&lt;&gt;"","Riva Nur Fathiya Safitri","")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IF($B52&lt;&gt;"","Riva Nur Fathiya Safitri","")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IF($B53&lt;&gt;"","Riva Nur Fathiya Safitri","")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IF($B54&lt;&gt;"","Riva Nur Fathiya Safitri","")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Shintia Nur Fadillah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Ajwah Ghaziyya Tsuraya</t>
        </is>
      </c>
      <c r="C5" s="30" t="n"/>
      <c r="D5" s="30" t="inlineStr">
        <is>
          <t>Intermediate I</t>
        </is>
      </c>
      <c r="E5" s="43" t="inlineStr">
        <is>
          <t>PA</t>
        </is>
      </c>
      <c r="F5" s="43" t="n"/>
      <c r="G5" s="43" t="n"/>
      <c r="H5" s="30">
        <f>IF($B5&lt;&gt;"","Shintia Nur Fadillah","")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Aghamora Futih Elena</t>
        </is>
      </c>
      <c r="C6" s="30" t="n"/>
      <c r="D6" s="30" t="inlineStr">
        <is>
          <t>Preschool I</t>
        </is>
      </c>
      <c r="E6" s="43" t="inlineStr">
        <is>
          <t>PA</t>
        </is>
      </c>
      <c r="F6" s="43" t="n"/>
      <c r="G6" s="43" t="n"/>
      <c r="H6" s="30">
        <f>IF($B6&lt;&gt;"","Shintia Nur Fadillah","")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Annasya Sky Rifaldy</t>
        </is>
      </c>
      <c r="C7" s="30" t="n"/>
      <c r="D7" s="30" t="inlineStr">
        <is>
          <t>Aquatike I</t>
        </is>
      </c>
      <c r="E7" s="43" t="inlineStr">
        <is>
          <t>PA</t>
        </is>
      </c>
      <c r="F7" s="43" t="n"/>
      <c r="G7" s="43" t="n"/>
      <c r="H7" s="30">
        <f>IF($B7&lt;&gt;"","Shintia Nur Fadillah","")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Harmony Saura Anggara</t>
        </is>
      </c>
      <c r="C8" s="30" t="n"/>
      <c r="D8" s="30" t="inlineStr">
        <is>
          <t>Aquatike I</t>
        </is>
      </c>
      <c r="E8" s="43" t="inlineStr">
        <is>
          <t>PA</t>
        </is>
      </c>
      <c r="F8" s="43" t="n"/>
      <c r="G8" s="43" t="n"/>
      <c r="H8" s="30">
        <f>IF($B8&lt;&gt;"","Shintia Nur Fadillah","")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Muhammad Danish Pradipa</t>
        </is>
      </c>
      <c r="C9" s="30" t="n"/>
      <c r="D9" s="30" t="inlineStr">
        <is>
          <t>Intermediate II</t>
        </is>
      </c>
      <c r="E9" s="43" t="inlineStr">
        <is>
          <t>PA</t>
        </is>
      </c>
      <c r="F9" s="43" t="n"/>
      <c r="G9" s="43" t="n"/>
      <c r="H9" s="30">
        <f>IF($B9&lt;&gt;"","Shintia Nur Fadillah","")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Shabrina Shofie Ainayya</t>
        </is>
      </c>
      <c r="C10" s="30" t="n"/>
      <c r="D10" s="30" t="inlineStr">
        <is>
          <t>Intermediate I</t>
        </is>
      </c>
      <c r="E10" s="43" t="inlineStr">
        <is>
          <t>PA</t>
        </is>
      </c>
      <c r="F10" s="43" t="n"/>
      <c r="G10" s="43" t="n"/>
      <c r="H10" s="30">
        <f>IF($B10&lt;&gt;"","Shintia Nur Fadillah","")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Svara Gendiswangi Putro</t>
        </is>
      </c>
      <c r="C11" s="30" t="n"/>
      <c r="D11" s="30" t="inlineStr">
        <is>
          <t>Intermediate II</t>
        </is>
      </c>
      <c r="E11" s="43" t="inlineStr">
        <is>
          <t>PA</t>
        </is>
      </c>
      <c r="F11" s="43" t="n"/>
      <c r="G11" s="43" t="n"/>
      <c r="H11" s="30">
        <f>IF($B11&lt;&gt;"","Shintia Nur Fadillah","")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Qinara Azkadina Lukmansyah</t>
        </is>
      </c>
      <c r="C12" s="30" t="n"/>
      <c r="D12" s="30" t="inlineStr">
        <is>
          <t>Beginner I</t>
        </is>
      </c>
      <c r="E12" s="43" t="inlineStr">
        <is>
          <t>PA</t>
        </is>
      </c>
      <c r="F12" s="43" t="n"/>
      <c r="G12" s="43" t="n"/>
      <c r="H12" s="30">
        <f>IF($B12&lt;&gt;"","Shintia Nur Fadillah","")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Quin Azzalea Lukmansyah</t>
        </is>
      </c>
      <c r="C13" s="30" t="n"/>
      <c r="D13" s="30" t="inlineStr">
        <is>
          <t>Swim Team Prep</t>
        </is>
      </c>
      <c r="E13" s="43" t="inlineStr">
        <is>
          <t>Standalone</t>
        </is>
      </c>
      <c r="F13" s="43" t="n"/>
      <c r="G13" s="43" t="n"/>
      <c r="H13" s="30">
        <f>IF($B13&lt;&gt;"","Shintia Nur Fadillah","")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Zubair Albukhori Surenggane</t>
        </is>
      </c>
      <c r="C14" s="30" t="n"/>
      <c r="D14" s="30" t="inlineStr">
        <is>
          <t>Advanced I</t>
        </is>
      </c>
      <c r="E14" s="43" t="inlineStr">
        <is>
          <t>PA</t>
        </is>
      </c>
      <c r="F14" s="43" t="n"/>
      <c r="G14" s="43" t="n"/>
      <c r="H14" s="30">
        <f>IF($B14&lt;&gt;"","Shintia Nur Fadillah","")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n"/>
      <c r="C15" s="30" t="n"/>
      <c r="D15" s="30" t="n"/>
      <c r="E15" s="43" t="n"/>
      <c r="F15" s="43" t="n"/>
      <c r="G15" s="43" t="n"/>
      <c r="H15" s="30">
        <f>IF($B15&lt;&gt;"","Shintia Nur Fadillah","")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IF($B16&lt;&gt;"","Shintia Nur Fadillah","")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IF($B17&lt;&gt;"","Shintia Nur Fadillah","")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IF($B18&lt;&gt;"","Shintia Nur Fadillah","")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IF($B19&lt;&gt;"","Shintia Nur Fadillah","")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IF($B20&lt;&gt;"","Shintia Nur Fadillah","")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IF($B21&lt;&gt;"","Shintia Nur Fadillah","")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IF($B22&lt;&gt;"","Shintia Nur Fadillah","")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IF($B23&lt;&gt;"","Shintia Nur Fadillah","")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IF($B24&lt;&gt;"","Shintia Nur Fadillah","")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IF($B25&lt;&gt;"","Shintia Nur Fadillah","")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IF($B26&lt;&gt;"","Shintia Nur Fadillah","")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IF($B27&lt;&gt;"","Shintia Nur Fadillah","")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IF($B28&lt;&gt;"","Shintia Nur Fadillah","")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IF($B29&lt;&gt;"","Shintia Nur Fadillah","")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IF($B30&lt;&gt;"","Shintia Nur Fadillah","")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IF($B31&lt;&gt;"","Shintia Nur Fadillah","")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IF($B32&lt;&gt;"","Shintia Nur Fadillah","")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IF($B33&lt;&gt;"","Shintia Nur Fadillah","")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IF($B34&lt;&gt;"","Shintia Nur Fadillah","")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IF($B35&lt;&gt;"","Shintia Nur Fadillah","")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IF($B36&lt;&gt;"","Shintia Nur Fadillah","")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IF($B37&lt;&gt;"","Shintia Nur Fadillah","")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IF($B38&lt;&gt;"","Shintia Nur Fadillah","")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IF($B39&lt;&gt;"","Shintia Nur Fadillah","")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IF($B40&lt;&gt;"","Shintia Nur Fadillah","")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IF($B41&lt;&gt;"","Shintia Nur Fadillah","")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IF($B42&lt;&gt;"","Shintia Nur Fadillah","")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IF($B43&lt;&gt;"","Shintia Nur Fadillah","")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IF($B44&lt;&gt;"","Shintia Nur Fadillah","")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IF($B45&lt;&gt;"","Shintia Nur Fadillah","")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IF($B46&lt;&gt;"","Shintia Nur Fadillah","")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IF($B47&lt;&gt;"","Shintia Nur Fadillah","")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IF($B48&lt;&gt;"","Shintia Nur Fadillah","")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IF($B49&lt;&gt;"","Shintia Nur Fadillah","")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IF($B50&lt;&gt;"","Shintia Nur Fadillah","")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IF($B51&lt;&gt;"","Shintia Nur Fadillah","")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IF($B52&lt;&gt;"","Shintia Nur Fadillah","")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IF($B53&lt;&gt;"","Shintia Nur Fadillah","")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IF($B54&lt;&gt;"","Shintia Nur Fadillah","")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Sinta Faoziah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Arracelli Ratu Amecca</t>
        </is>
      </c>
      <c r="C5" s="30" t="inlineStr">
        <is>
          <t>Baby Swim</t>
        </is>
      </c>
      <c r="D5" s="30" t="inlineStr">
        <is>
          <t>Baby Swim II</t>
        </is>
      </c>
      <c r="E5" s="43" t="inlineStr">
        <is>
          <t>Standalone</t>
        </is>
      </c>
      <c r="F5" s="43" t="n"/>
      <c r="G5" s="43" t="n"/>
      <c r="H5" s="30">
        <f>IF($B5&lt;&gt;"","Sinta Faoziah","")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Moonella Racheline</t>
        </is>
      </c>
      <c r="C6" s="30" t="n"/>
      <c r="D6" s="30" t="inlineStr">
        <is>
          <t>Aquatike I</t>
        </is>
      </c>
      <c r="E6" s="43" t="inlineStr">
        <is>
          <t>Standalone</t>
        </is>
      </c>
      <c r="F6" s="43" t="n"/>
      <c r="G6" s="43" t="n"/>
      <c r="H6" s="30">
        <f>IF($B6&lt;&gt;"","Sinta Faoziah","")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Shafa Raihanah</t>
        </is>
      </c>
      <c r="C7" s="30" t="n"/>
      <c r="D7" s="30" t="inlineStr">
        <is>
          <t>Preschool I</t>
        </is>
      </c>
      <c r="E7" s="43" t="inlineStr">
        <is>
          <t>Standalone</t>
        </is>
      </c>
      <c r="F7" s="43" t="n"/>
      <c r="G7" s="43" t="n"/>
      <c r="H7" s="30">
        <f>IF($B7&lt;&gt;"","Sinta Faoziah","")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Macayla Arasely Yula</t>
        </is>
      </c>
      <c r="C8" s="30" t="n"/>
      <c r="D8" s="30" t="inlineStr">
        <is>
          <t>Beginner I</t>
        </is>
      </c>
      <c r="E8" s="43" t="inlineStr">
        <is>
          <t>Standalone</t>
        </is>
      </c>
      <c r="F8" s="43" t="n"/>
      <c r="G8" s="43" t="n"/>
      <c r="H8" s="30">
        <f>IF($B8&lt;&gt;"","Sinta Faoziah","")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Aleia Sheeva Nugraha</t>
        </is>
      </c>
      <c r="C9" s="30" t="n"/>
      <c r="D9" s="30" t="inlineStr">
        <is>
          <t>Aquatike I</t>
        </is>
      </c>
      <c r="E9" s="43" t="inlineStr">
        <is>
          <t>Standalone</t>
        </is>
      </c>
      <c r="F9" s="43" t="n"/>
      <c r="G9" s="43" t="n"/>
      <c r="H9" s="30">
        <f>IF($B9&lt;&gt;"","Sinta Faoziah","")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Arabella Hanan Khadijah</t>
        </is>
      </c>
      <c r="C10" s="30" t="inlineStr">
        <is>
          <t>Baby Swim</t>
        </is>
      </c>
      <c r="D10" s="30" t="inlineStr">
        <is>
          <t>Baby Swim II</t>
        </is>
      </c>
      <c r="E10" s="43" t="inlineStr">
        <is>
          <t>Standalone</t>
        </is>
      </c>
      <c r="F10" s="43" t="n"/>
      <c r="G10" s="43" t="n"/>
      <c r="H10" s="30">
        <f>IF($B10&lt;&gt;"","Sinta Faoziah","")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Arumi Nadira Kurniawan</t>
        </is>
      </c>
      <c r="C11" s="30" t="n"/>
      <c r="D11" s="30" t="inlineStr">
        <is>
          <t>Aquatike I</t>
        </is>
      </c>
      <c r="E11" s="43" t="inlineStr">
        <is>
          <t>Standalone</t>
        </is>
      </c>
      <c r="F11" s="43" t="n"/>
      <c r="G11" s="43" t="n"/>
      <c r="H11" s="30">
        <f>IF($B11&lt;&gt;"","Sinta Faoziah","")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Fiorenza Griselda Gunawan</t>
        </is>
      </c>
      <c r="C12" s="30" t="n"/>
      <c r="D12" s="30" t="inlineStr">
        <is>
          <t>Intermediate I</t>
        </is>
      </c>
      <c r="E12" s="43" t="inlineStr">
        <is>
          <t>Standalone</t>
        </is>
      </c>
      <c r="F12" s="43" t="n"/>
      <c r="G12" s="43" t="n"/>
      <c r="H12" s="30">
        <f>IF($B12&lt;&gt;"","Sinta Faoziah","")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Aerilyn Feodora Marpaung</t>
        </is>
      </c>
      <c r="C13" s="30" t="n"/>
      <c r="D13" s="30" t="inlineStr">
        <is>
          <t>Beginner II</t>
        </is>
      </c>
      <c r="E13" s="43" t="inlineStr">
        <is>
          <t>Standalone</t>
        </is>
      </c>
      <c r="F13" s="43" t="n"/>
      <c r="G13" s="43" t="n"/>
      <c r="H13" s="30">
        <f>IF($B13&lt;&gt;"","Sinta Faoziah","")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Anne Hediana Koesoemah</t>
        </is>
      </c>
      <c r="C14" s="30" t="n"/>
      <c r="D14" s="30" t="inlineStr">
        <is>
          <t>Beginner I</t>
        </is>
      </c>
      <c r="E14" s="43" t="inlineStr">
        <is>
          <t>Standalone</t>
        </is>
      </c>
      <c r="F14" s="43" t="n"/>
      <c r="G14" s="43" t="n"/>
      <c r="H14" s="30">
        <f>IF($B14&lt;&gt;"","Sinta Faoziah","")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Abhiseva Abdurrasyid Fadhila</t>
        </is>
      </c>
      <c r="C15" s="30" t="n"/>
      <c r="D15" s="30" t="inlineStr">
        <is>
          <t>Preschool I</t>
        </is>
      </c>
      <c r="E15" s="43" t="inlineStr">
        <is>
          <t>Standalone</t>
        </is>
      </c>
      <c r="F15" s="43" t="n"/>
      <c r="G15" s="43" t="n"/>
      <c r="H15" s="30">
        <f>IF($B15&lt;&gt;"","Sinta Faoziah","")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Gwen Alesha</t>
        </is>
      </c>
      <c r="C16" s="30" t="n"/>
      <c r="D16" s="30" t="inlineStr">
        <is>
          <t>Preschool I</t>
        </is>
      </c>
      <c r="E16" s="43" t="inlineStr">
        <is>
          <t>Standalone</t>
        </is>
      </c>
      <c r="F16" s="43" t="n"/>
      <c r="G16" s="43" t="n"/>
      <c r="H16" s="30">
        <f>IF($B16&lt;&gt;"","Sinta Faoziah","")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Muhammad Gael</t>
        </is>
      </c>
      <c r="C17" s="30" t="n"/>
      <c r="D17" s="30" t="inlineStr">
        <is>
          <t>Aquatike I</t>
        </is>
      </c>
      <c r="E17" s="43" t="inlineStr">
        <is>
          <t>Standalone</t>
        </is>
      </c>
      <c r="F17" s="43" t="n"/>
      <c r="G17" s="43" t="n"/>
      <c r="H17" s="30">
        <f>IF($B17&lt;&gt;"","Sinta Faoziah","")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Noordaffa</t>
        </is>
      </c>
      <c r="C18" s="30" t="n"/>
      <c r="D18" s="30" t="inlineStr">
        <is>
          <t>Beginner II</t>
        </is>
      </c>
      <c r="E18" s="43" t="inlineStr">
        <is>
          <t>Standalone</t>
        </is>
      </c>
      <c r="F18" s="43" t="n"/>
      <c r="G18" s="43" t="n"/>
      <c r="H18" s="30">
        <f>IF($B18&lt;&gt;"","Sinta Faoziah","")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Naura Azzahra</t>
        </is>
      </c>
      <c r="C19" s="30" t="n"/>
      <c r="D19" s="30" t="inlineStr">
        <is>
          <t>Preschool I</t>
        </is>
      </c>
      <c r="E19" s="43" t="inlineStr">
        <is>
          <t>Standalone</t>
        </is>
      </c>
      <c r="F19" s="43" t="n"/>
      <c r="G19" s="43" t="n"/>
      <c r="H19" s="30">
        <f>IF($B19&lt;&gt;"","Sinta Faoziah","")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inlineStr">
        <is>
          <t>Nayya</t>
        </is>
      </c>
      <c r="C20" s="30" t="n"/>
      <c r="D20" s="30" t="n"/>
      <c r="E20" s="43" t="n"/>
      <c r="F20" s="43" t="n"/>
      <c r="G20" s="43" t="n"/>
      <c r="H20" s="30">
        <f>IF($B20&lt;&gt;"","Sinta Faoziah","")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inlineStr">
        <is>
          <t>Nita Henita Koesoemah</t>
        </is>
      </c>
      <c r="C21" s="30" t="n"/>
      <c r="D21" s="30" t="inlineStr">
        <is>
          <t>Beginner I</t>
        </is>
      </c>
      <c r="E21" s="43" t="inlineStr">
        <is>
          <t>Standalone</t>
        </is>
      </c>
      <c r="F21" s="43" t="n"/>
      <c r="G21" s="43" t="n"/>
      <c r="H21" s="30">
        <f>IF($B21&lt;&gt;"","Sinta Faoziah","")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inlineStr">
        <is>
          <t>Medina Kanaya Inara</t>
        </is>
      </c>
      <c r="C22" s="30" t="n"/>
      <c r="D22" s="30" t="inlineStr">
        <is>
          <t>Aquatike I</t>
        </is>
      </c>
      <c r="E22" s="43" t="inlineStr">
        <is>
          <t>Standalone</t>
        </is>
      </c>
      <c r="F22" s="43" t="n"/>
      <c r="G22" s="43" t="n"/>
      <c r="H22" s="30">
        <f>IF($B22&lt;&gt;"","Sinta Faoziah","")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IF($B23&lt;&gt;"","Sinta Faoziah","")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IF($B24&lt;&gt;"","Sinta Faoziah","")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IF($B25&lt;&gt;"","Sinta Faoziah","")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IF($B26&lt;&gt;"","Sinta Faoziah","")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IF($B27&lt;&gt;"","Sinta Faoziah","")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IF($B28&lt;&gt;"","Sinta Faoziah","")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IF($B29&lt;&gt;"","Sinta Faoziah","")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IF($B30&lt;&gt;"","Sinta Faoziah","")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IF($B31&lt;&gt;"","Sinta Faoziah","")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IF($B32&lt;&gt;"","Sinta Faoziah","")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IF($B33&lt;&gt;"","Sinta Faoziah","")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IF($B34&lt;&gt;"","Sinta Faoziah","")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IF($B35&lt;&gt;"","Sinta Faoziah","")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IF($B36&lt;&gt;"","Sinta Faoziah","")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IF($B37&lt;&gt;"","Sinta Faoziah","")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IF($B38&lt;&gt;"","Sinta Faoziah","")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IF($B39&lt;&gt;"","Sinta Faoziah","")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IF($B40&lt;&gt;"","Sinta Faoziah","")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IF($B41&lt;&gt;"","Sinta Faoziah","")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IF($B42&lt;&gt;"","Sinta Faoziah","")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IF($B43&lt;&gt;"","Sinta Faoziah","")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IF($B44&lt;&gt;"","Sinta Faoziah","")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IF($B45&lt;&gt;"","Sinta Faoziah","")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IF($B46&lt;&gt;"","Sinta Faoziah","")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IF($B47&lt;&gt;"","Sinta Faoziah","")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IF($B48&lt;&gt;"","Sinta Faoziah","")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IF($B49&lt;&gt;"","Sinta Faoziah","")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IF($B50&lt;&gt;"","Sinta Faoziah","")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IF($B51&lt;&gt;"","Sinta Faoziah","")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IF($B52&lt;&gt;"","Sinta Faoziah","")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IF($B53&lt;&gt;"","Sinta Faoziah","")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IF($B54&lt;&gt;"","Sinta Faoziah","")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Tiara Anastasya Gumilar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Nakeisha Zeline Aulia</t>
        </is>
      </c>
      <c r="C5" s="30" t="n"/>
      <c r="D5" s="30" t="inlineStr">
        <is>
          <t>Advanced I</t>
        </is>
      </c>
      <c r="E5" s="43" t="n"/>
      <c r="F5" s="43" t="n"/>
      <c r="G5" s="43" t="n"/>
      <c r="H5" s="30">
        <f>IF($B5&lt;&gt;"","Tiara Anastasya Gumilar","")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Anindita Salwa Zelmira</t>
        </is>
      </c>
      <c r="C6" s="30" t="n"/>
      <c r="D6" s="30" t="inlineStr">
        <is>
          <t>Beginner II</t>
        </is>
      </c>
      <c r="E6" s="43" t="n"/>
      <c r="F6" s="43" t="n"/>
      <c r="G6" s="43" t="n"/>
      <c r="H6" s="30">
        <f>IF($B6&lt;&gt;"","Tiara Anastasya Gumilar","")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Hilya Raudhatul Jannah</t>
        </is>
      </c>
      <c r="C7" s="30" t="n"/>
      <c r="D7" s="30" t="inlineStr">
        <is>
          <t>Advanced I</t>
        </is>
      </c>
      <c r="E7" s="43" t="n"/>
      <c r="F7" s="43" t="n"/>
      <c r="G7" s="43" t="n"/>
      <c r="H7" s="30">
        <f>IF($B7&lt;&gt;"","Tiara Anastasya Gumilar","")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Fayza Shakila Almira</t>
        </is>
      </c>
      <c r="C8" s="30" t="n"/>
      <c r="D8" s="30" t="inlineStr">
        <is>
          <t>Advanced I</t>
        </is>
      </c>
      <c r="E8" s="43" t="n"/>
      <c r="F8" s="43" t="n"/>
      <c r="G8" s="43" t="n"/>
      <c r="H8" s="30">
        <f>IF($B8&lt;&gt;"","Tiara Anastasya Gumilar","")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Muhammad Zayn Afkar Tsabit</t>
        </is>
      </c>
      <c r="C9" s="30" t="n"/>
      <c r="D9" s="30" t="inlineStr">
        <is>
          <t>Intermediate II</t>
        </is>
      </c>
      <c r="E9" s="43" t="n"/>
      <c r="F9" s="43" t="n"/>
      <c r="G9" s="43" t="n"/>
      <c r="H9" s="30">
        <f>IF($B9&lt;&gt;"","Tiara Anastasya Gumilar","")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Atharrazka Arsyanendra Rahman</t>
        </is>
      </c>
      <c r="C10" s="30" t="n"/>
      <c r="D10" s="30" t="inlineStr">
        <is>
          <t>Beginner II</t>
        </is>
      </c>
      <c r="E10" s="43" t="n"/>
      <c r="F10" s="43" t="n"/>
      <c r="G10" s="43" t="n"/>
      <c r="H10" s="30">
        <f>IF($B10&lt;&gt;"","Tiara Anastasya Gumilar","")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Arcilla Nura Valeeqa</t>
        </is>
      </c>
      <c r="C11" s="30" t="n"/>
      <c r="D11" s="30" t="inlineStr">
        <is>
          <t>Aquatike III</t>
        </is>
      </c>
      <c r="E11" s="43" t="n"/>
      <c r="F11" s="43" t="n"/>
      <c r="G11" s="43" t="n"/>
      <c r="H11" s="30">
        <f>IF($B11&lt;&gt;"","Tiara Anastasya Gumilar","")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alula jasmine z</t>
        </is>
      </c>
      <c r="C12" s="30" t="n"/>
      <c r="D12" s="30" t="inlineStr">
        <is>
          <t>Intermediate II</t>
        </is>
      </c>
      <c r="E12" s="43" t="n"/>
      <c r="F12" s="43" t="n"/>
      <c r="G12" s="43" t="n"/>
      <c r="H12" s="30">
        <f>IF($B12&lt;&gt;"","Tiara Anastasya Gumilar","")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azqiara shanum</t>
        </is>
      </c>
      <c r="C13" s="30" t="n"/>
      <c r="D13" s="30" t="inlineStr">
        <is>
          <t>Intermediate I</t>
        </is>
      </c>
      <c r="E13" s="43" t="n"/>
      <c r="F13" s="43" t="n"/>
      <c r="G13" s="43" t="n"/>
      <c r="H13" s="30">
        <f>IF($B13&lt;&gt;"","Tiara Anastasya Gumilar","")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khalif</t>
        </is>
      </c>
      <c r="C14" s="30" t="n"/>
      <c r="D14" s="30" t="inlineStr">
        <is>
          <t>Advanced I</t>
        </is>
      </c>
      <c r="E14" s="43" t="n"/>
      <c r="F14" s="43" t="n"/>
      <c r="G14" s="43" t="n"/>
      <c r="H14" s="30">
        <f>IF($B14&lt;&gt;"","Tiara Anastasya Gumilar","")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jasmin</t>
        </is>
      </c>
      <c r="C15" s="30" t="n"/>
      <c r="D15" s="30" t="inlineStr">
        <is>
          <t>Intermediate II</t>
        </is>
      </c>
      <c r="E15" s="43" t="n"/>
      <c r="F15" s="43" t="n"/>
      <c r="G15" s="43" t="n"/>
      <c r="H15" s="30">
        <f>IF($B15&lt;&gt;"","Tiara Anastasya Gumilar","")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inlineStr">
        <is>
          <t>rumaisha</t>
        </is>
      </c>
      <c r="C16" s="30" t="n"/>
      <c r="D16" s="30" t="inlineStr">
        <is>
          <t>Intermediate I</t>
        </is>
      </c>
      <c r="E16" s="43" t="n"/>
      <c r="F16" s="43" t="n"/>
      <c r="G16" s="43" t="n"/>
      <c r="H16" s="30">
        <f>IF($B16&lt;&gt;"","Tiara Anastasya Gumilar","")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inlineStr">
        <is>
          <t>shakeera</t>
        </is>
      </c>
      <c r="C17" s="30" t="n"/>
      <c r="D17" s="30" t="inlineStr">
        <is>
          <t>Aquatike I</t>
        </is>
      </c>
      <c r="E17" s="43" t="n"/>
      <c r="F17" s="43" t="n"/>
      <c r="G17" s="43" t="n"/>
      <c r="H17" s="30">
        <f>IF($B17&lt;&gt;"","Tiara Anastasya Gumilar","")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inlineStr">
        <is>
          <t>Hakeema Futih Kalonea</t>
        </is>
      </c>
      <c r="C18" s="30" t="n"/>
      <c r="D18" s="30" t="inlineStr">
        <is>
          <t>Beginner II</t>
        </is>
      </c>
      <c r="E18" s="43" t="n"/>
      <c r="F18" s="43" t="n"/>
      <c r="G18" s="43" t="n"/>
      <c r="H18" s="30">
        <f>IF($B18&lt;&gt;"","Tiara Anastasya Gumilar","")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inlineStr">
        <is>
          <t>nusantara</t>
        </is>
      </c>
      <c r="C19" s="30" t="n"/>
      <c r="D19" s="30" t="inlineStr">
        <is>
          <t>Aquatike I</t>
        </is>
      </c>
      <c r="E19" s="43" t="n"/>
      <c r="F19" s="43" t="n"/>
      <c r="G19" s="43" t="n"/>
      <c r="H19" s="30">
        <f>IF($B19&lt;&gt;"","Tiara Anastasya Gumilar","")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IF($B20&lt;&gt;"","Tiara Anastasya Gumilar","")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IF($B21&lt;&gt;"","Tiara Anastasya Gumilar","")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IF($B22&lt;&gt;"","Tiara Anastasya Gumilar","")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IF($B23&lt;&gt;"","Tiara Anastasya Gumilar","")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IF($B24&lt;&gt;"","Tiara Anastasya Gumilar","")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IF($B25&lt;&gt;"","Tiara Anastasya Gumilar","")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IF($B26&lt;&gt;"","Tiara Anastasya Gumilar","")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IF($B27&lt;&gt;"","Tiara Anastasya Gumilar","")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IF($B28&lt;&gt;"","Tiara Anastasya Gumilar","")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IF($B29&lt;&gt;"","Tiara Anastasya Gumilar","")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IF($B30&lt;&gt;"","Tiara Anastasya Gumilar","")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IF($B31&lt;&gt;"","Tiara Anastasya Gumilar","")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IF($B32&lt;&gt;"","Tiara Anastasya Gumilar","")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IF($B33&lt;&gt;"","Tiara Anastasya Gumilar","")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IF($B34&lt;&gt;"","Tiara Anastasya Gumilar","")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IF($B35&lt;&gt;"","Tiara Anastasya Gumilar","")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IF($B36&lt;&gt;"","Tiara Anastasya Gumilar","")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IF($B37&lt;&gt;"","Tiara Anastasya Gumilar","")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IF($B38&lt;&gt;"","Tiara Anastasya Gumilar","")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IF($B39&lt;&gt;"","Tiara Anastasya Gumilar","")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IF($B40&lt;&gt;"","Tiara Anastasya Gumilar","")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IF($B41&lt;&gt;"","Tiara Anastasya Gumilar","")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IF($B42&lt;&gt;"","Tiara Anastasya Gumilar","")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IF($B43&lt;&gt;"","Tiara Anastasya Gumilar","")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IF($B44&lt;&gt;"","Tiara Anastasya Gumilar","")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IF($B45&lt;&gt;"","Tiara Anastasya Gumilar","")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IF($B46&lt;&gt;"","Tiara Anastasya Gumilar","")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IF($B47&lt;&gt;"","Tiara Anastasya Gumilar","")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IF($B48&lt;&gt;"","Tiara Anastasya Gumilar","")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IF($B49&lt;&gt;"","Tiara Anastasya Gumilar","")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IF($B50&lt;&gt;"","Tiara Anastasya Gumilar","")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IF($B51&lt;&gt;"","Tiara Anastasya Gumilar","")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IF($B52&lt;&gt;"","Tiara Anastasya Gumilar","")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IF($B53&lt;&gt;"","Tiara Anastasya Gumilar","")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IF($B54&lt;&gt;"","Tiara Anastasya Gumilar","")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N54"/>
  <sheetViews>
    <sheetView showGridLines="0" zoomScale="10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0" customWidth="1" min="2" max="2"/>
    <col width="19" customWidth="1" min="3" max="3"/>
    <col width="17" customWidth="1" min="4" max="4"/>
    <col width="12" customWidth="1" min="5" max="5"/>
    <col width="11" customWidth="1" min="6" max="6"/>
    <col width="27" customWidth="1" min="7" max="7"/>
    <col hidden="1" width="3" customWidth="1" min="8" max="8"/>
    <col width="3" customWidth="1" min="9" max="9"/>
    <col width="10" customWidth="1" min="10" max="10"/>
    <col width="13" customWidth="1" min="11" max="11"/>
    <col width="28" customWidth="1" min="12" max="12"/>
    <col width="18" customWidth="1" min="13" max="13"/>
    <col width="32" customWidth="1" min="14" max="14"/>
  </cols>
  <sheetData>
    <row r="1" ht="22" customHeight="1">
      <c r="A1" s="24" t="inlineStr">
        <is>
          <t>TWENTY SWIM  -  LEVEL SISWA &amp; JADWAL LATIHAN (BANDUNG)</t>
        </is>
      </c>
    </row>
    <row r="2">
      <c r="A2" s="40" t="inlineStr">
        <is>
          <t>Pelatih: Tiara Maelani</t>
        </is>
      </c>
      <c r="D2" s="27" t="inlineStr">
        <is>
          <t>Terisi:</t>
        </is>
      </c>
      <c r="E2" s="41">
        <f>COUNTA($B$5:$B$54)</f>
        <v/>
      </c>
      <c r="F2" s="21" t="inlineStr">
        <is>
          <t>siswa</t>
        </is>
      </c>
    </row>
    <row r="3" ht="13" customHeight="1">
      <c r="A3" s="23" t="inlineStr">
        <is>
          <t>Isi kolom putih. Kolom berwarna = dropdown, tinggal pilih. No &amp; Coach terisi otomatis.</t>
        </is>
      </c>
    </row>
    <row r="4" ht="30" customHeight="1">
      <c r="A4" s="29" t="inlineStr">
        <is>
          <t>No</t>
        </is>
      </c>
      <c r="B4" s="29" t="inlineStr">
        <is>
          <t>Nama Siswa</t>
        </is>
      </c>
      <c r="C4" s="29" t="inlineStr">
        <is>
          <t>Program/Kelas</t>
        </is>
      </c>
      <c r="D4" s="29" t="inlineStr">
        <is>
          <t>Level Saat Ini</t>
        </is>
      </c>
      <c r="E4" s="29" t="inlineStr">
        <is>
          <t>Status</t>
        </is>
      </c>
      <c r="F4" s="29" t="inlineStr">
        <is>
          <t>Risiko</t>
        </is>
      </c>
      <c r="G4" s="29" t="inlineStr">
        <is>
          <t>Sosialisasi Keselamatan ke Ortu</t>
        </is>
      </c>
      <c r="H4" s="29" t="inlineStr">
        <is>
          <t>Coach</t>
        </is>
      </c>
      <c r="J4" s="42" t="inlineStr">
        <is>
          <t>JADWAL LATIHAN  (Senin-Jumat 5 baris, Sabtu-Minggu 10 baris)</t>
        </is>
      </c>
    </row>
    <row r="5" ht="17" customHeight="1">
      <c r="A5" s="43">
        <f>IF($B5&lt;&gt;"",ROW()-4,"")</f>
        <v/>
      </c>
      <c r="B5" s="30" t="inlineStr">
        <is>
          <t>Hakeema Futih Kalonea</t>
        </is>
      </c>
      <c r="C5" s="30" t="n"/>
      <c r="D5" s="30" t="inlineStr">
        <is>
          <t>Beginner I</t>
        </is>
      </c>
      <c r="E5" s="43" t="inlineStr">
        <is>
          <t>PA</t>
        </is>
      </c>
      <c r="F5" s="43" t="n"/>
      <c r="G5" s="43" t="n"/>
      <c r="H5" s="30">
        <f>IF($B5&lt;&gt;"","Tiara Maelani","")</f>
        <v/>
      </c>
      <c r="J5" s="44" t="inlineStr">
        <is>
          <t>Hari</t>
        </is>
      </c>
      <c r="K5" s="44" t="inlineStr">
        <is>
          <t>Jam</t>
        </is>
      </c>
      <c r="L5" s="44" t="inlineStr">
        <is>
          <t>Nama Siswa</t>
        </is>
      </c>
      <c r="M5" s="44" t="inlineStr">
        <is>
          <t>Lokasi (wilayah)</t>
        </is>
      </c>
      <c r="N5" s="44" t="inlineStr">
        <is>
          <t>Kolam</t>
        </is>
      </c>
    </row>
    <row r="6" ht="17" customHeight="1">
      <c r="A6" s="43">
        <f>IF($B6&lt;&gt;"",ROW()-4,"")</f>
        <v/>
      </c>
      <c r="B6" s="30" t="inlineStr">
        <is>
          <t>Ayudia Diera Islami</t>
        </is>
      </c>
      <c r="C6" s="30" t="n"/>
      <c r="D6" s="30" t="inlineStr">
        <is>
          <t>Beginner II</t>
        </is>
      </c>
      <c r="E6" s="43" t="inlineStr">
        <is>
          <t>Standalone</t>
        </is>
      </c>
      <c r="F6" s="43" t="n"/>
      <c r="G6" s="43" t="n"/>
      <c r="H6" s="30">
        <f>IF($B6&lt;&gt;"","Tiara Maelani","")</f>
        <v/>
      </c>
      <c r="J6" s="45" t="inlineStr">
        <is>
          <t>Senin</t>
        </is>
      </c>
      <c r="K6" s="46" t="n"/>
      <c r="L6" s="30" t="n"/>
      <c r="M6" s="30" t="n"/>
      <c r="N6" s="30" t="n"/>
    </row>
    <row r="7" ht="17" customHeight="1">
      <c r="A7" s="43">
        <f>IF($B7&lt;&gt;"",ROW()-4,"")</f>
        <v/>
      </c>
      <c r="B7" s="30" t="inlineStr">
        <is>
          <t>Muhammad Zayn</t>
        </is>
      </c>
      <c r="C7" s="30" t="n"/>
      <c r="D7" s="30" t="inlineStr">
        <is>
          <t>Preschool I</t>
        </is>
      </c>
      <c r="E7" s="43" t="inlineStr">
        <is>
          <t>PA</t>
        </is>
      </c>
      <c r="F7" s="43" t="n"/>
      <c r="G7" s="43" t="n"/>
      <c r="H7" s="30">
        <f>IF($B7&lt;&gt;"","Tiara Maelani","")</f>
        <v/>
      </c>
      <c r="J7" s="47" t="n"/>
      <c r="K7" s="46" t="n"/>
      <c r="L7" s="30" t="n"/>
      <c r="M7" s="30" t="n"/>
      <c r="N7" s="30" t="n"/>
    </row>
    <row r="8" ht="17" customHeight="1">
      <c r="A8" s="43">
        <f>IF($B8&lt;&gt;"",ROW()-4,"")</f>
        <v/>
      </c>
      <c r="B8" s="30" t="inlineStr">
        <is>
          <t>Shanum Dhiya Putri Adji</t>
        </is>
      </c>
      <c r="C8" s="30" t="n"/>
      <c r="D8" s="30" t="inlineStr">
        <is>
          <t>Beginner I</t>
        </is>
      </c>
      <c r="E8" s="43" t="inlineStr">
        <is>
          <t>Standalone</t>
        </is>
      </c>
      <c r="F8" s="43" t="n"/>
      <c r="G8" s="43" t="n"/>
      <c r="H8" s="30">
        <f>IF($B8&lt;&gt;"","Tiara Maelani","")</f>
        <v/>
      </c>
      <c r="J8" s="47" t="n"/>
      <c r="K8" s="46" t="n"/>
      <c r="L8" s="30" t="n"/>
      <c r="M8" s="30" t="n"/>
      <c r="N8" s="30" t="n"/>
    </row>
    <row r="9" ht="17" customHeight="1">
      <c r="A9" s="43">
        <f>IF($B9&lt;&gt;"",ROW()-4,"")</f>
        <v/>
      </c>
      <c r="B9" s="30" t="inlineStr">
        <is>
          <t>Yomi</t>
        </is>
      </c>
      <c r="C9" s="30" t="n"/>
      <c r="D9" s="30" t="inlineStr">
        <is>
          <t>Preschool I</t>
        </is>
      </c>
      <c r="E9" s="43" t="inlineStr">
        <is>
          <t>PA</t>
        </is>
      </c>
      <c r="F9" s="43" t="n"/>
      <c r="G9" s="43" t="n"/>
      <c r="H9" s="30">
        <f>IF($B9&lt;&gt;"","Tiara Maelani","")</f>
        <v/>
      </c>
      <c r="J9" s="47" t="n"/>
      <c r="K9" s="46" t="n"/>
      <c r="L9" s="30" t="n"/>
      <c r="M9" s="30" t="n"/>
      <c r="N9" s="30" t="n"/>
    </row>
    <row r="10" ht="17" customHeight="1">
      <c r="A10" s="43">
        <f>IF($B10&lt;&gt;"",ROW()-4,"")</f>
        <v/>
      </c>
      <c r="B10" s="30" t="inlineStr">
        <is>
          <t>Runi Almahira Noor</t>
        </is>
      </c>
      <c r="C10" s="30" t="n"/>
      <c r="D10" s="30" t="inlineStr">
        <is>
          <t>Preschool I</t>
        </is>
      </c>
      <c r="E10" s="43" t="inlineStr">
        <is>
          <t>Standalone</t>
        </is>
      </c>
      <c r="F10" s="43" t="n"/>
      <c r="G10" s="43" t="n"/>
      <c r="H10" s="30">
        <f>IF($B10&lt;&gt;"","Tiara Maelani","")</f>
        <v/>
      </c>
      <c r="J10" s="47" t="n"/>
      <c r="K10" s="46" t="n"/>
      <c r="L10" s="30" t="n"/>
      <c r="M10" s="30" t="n"/>
      <c r="N10" s="30" t="n"/>
    </row>
    <row r="11" ht="17" customHeight="1">
      <c r="A11" s="43">
        <f>IF($B11&lt;&gt;"",ROW()-4,"")</f>
        <v/>
      </c>
      <c r="B11" s="30" t="inlineStr">
        <is>
          <t>Aretha Wilasa</t>
        </is>
      </c>
      <c r="C11" s="30" t="n"/>
      <c r="D11" s="30" t="inlineStr">
        <is>
          <t>Aquatike I</t>
        </is>
      </c>
      <c r="E11" s="43" t="inlineStr">
        <is>
          <t>PA</t>
        </is>
      </c>
      <c r="F11" s="43" t="n"/>
      <c r="G11" s="43" t="n"/>
      <c r="H11" s="30">
        <f>IF($B11&lt;&gt;"","Tiara Maelani","")</f>
        <v/>
      </c>
      <c r="J11" s="45" t="inlineStr">
        <is>
          <t>Selasa</t>
        </is>
      </c>
      <c r="K11" s="46" t="n"/>
      <c r="L11" s="30" t="n"/>
      <c r="M11" s="30" t="n"/>
      <c r="N11" s="30" t="n"/>
    </row>
    <row r="12" ht="17" customHeight="1">
      <c r="A12" s="43">
        <f>IF($B12&lt;&gt;"",ROW()-4,"")</f>
        <v/>
      </c>
      <c r="B12" s="30" t="inlineStr">
        <is>
          <t>Rayna Rizkia Widyanata</t>
        </is>
      </c>
      <c r="C12" s="30" t="n"/>
      <c r="D12" s="30" t="inlineStr">
        <is>
          <t>Beginner I</t>
        </is>
      </c>
      <c r="E12" s="43" t="inlineStr">
        <is>
          <t>PA</t>
        </is>
      </c>
      <c r="F12" s="43" t="n"/>
      <c r="G12" s="43" t="n"/>
      <c r="H12" s="30">
        <f>IF($B12&lt;&gt;"","Tiara Maelani","")</f>
        <v/>
      </c>
      <c r="J12" s="47" t="n"/>
      <c r="K12" s="46" t="n"/>
      <c r="L12" s="30" t="n"/>
      <c r="M12" s="30" t="n"/>
      <c r="N12" s="30" t="n"/>
    </row>
    <row r="13" ht="17" customHeight="1">
      <c r="A13" s="43">
        <f>IF($B13&lt;&gt;"",ROW()-4,"")</f>
        <v/>
      </c>
      <c r="B13" s="30" t="inlineStr">
        <is>
          <t>Aila Semesta Baskoro</t>
        </is>
      </c>
      <c r="C13" s="30" t="n"/>
      <c r="D13" s="30" t="inlineStr">
        <is>
          <t>Beginner II</t>
        </is>
      </c>
      <c r="E13" s="43" t="inlineStr">
        <is>
          <t>Standalone</t>
        </is>
      </c>
      <c r="F13" s="43" t="n"/>
      <c r="G13" s="43" t="n"/>
      <c r="H13" s="30">
        <f>IF($B13&lt;&gt;"","Tiara Maelani","")</f>
        <v/>
      </c>
      <c r="J13" s="47" t="n"/>
      <c r="K13" s="46" t="n"/>
      <c r="L13" s="30" t="n"/>
      <c r="M13" s="30" t="n"/>
      <c r="N13" s="30" t="n"/>
    </row>
    <row r="14" ht="17" customHeight="1">
      <c r="A14" s="43">
        <f>IF($B14&lt;&gt;"",ROW()-4,"")</f>
        <v/>
      </c>
      <c r="B14" s="30" t="inlineStr">
        <is>
          <t>Aiza Semesta Baskoro</t>
        </is>
      </c>
      <c r="C14" s="30" t="n"/>
      <c r="D14" s="30" t="inlineStr">
        <is>
          <t>Beginner I</t>
        </is>
      </c>
      <c r="E14" s="43" t="inlineStr">
        <is>
          <t>Standalone</t>
        </is>
      </c>
      <c r="F14" s="43" t="n"/>
      <c r="G14" s="43" t="n"/>
      <c r="H14" s="30">
        <f>IF($B14&lt;&gt;"","Tiara Maelani","")</f>
        <v/>
      </c>
      <c r="J14" s="47" t="n"/>
      <c r="K14" s="46" t="n"/>
      <c r="L14" s="30" t="n"/>
      <c r="M14" s="30" t="n"/>
      <c r="N14" s="30" t="n"/>
    </row>
    <row r="15" ht="17" customHeight="1">
      <c r="A15" s="43">
        <f>IF($B15&lt;&gt;"",ROW()-4,"")</f>
        <v/>
      </c>
      <c r="B15" s="30" t="inlineStr">
        <is>
          <t>Ilsa</t>
        </is>
      </c>
      <c r="C15" s="30" t="n"/>
      <c r="D15" s="30" t="inlineStr">
        <is>
          <t>Aquatike I</t>
        </is>
      </c>
      <c r="E15" s="43" t="inlineStr">
        <is>
          <t>PA</t>
        </is>
      </c>
      <c r="F15" s="43" t="n"/>
      <c r="G15" s="43" t="n"/>
      <c r="H15" s="30">
        <f>IF($B15&lt;&gt;"","Tiara Maelani","")</f>
        <v/>
      </c>
      <c r="J15" s="47" t="n"/>
      <c r="K15" s="46" t="n"/>
      <c r="L15" s="30" t="n"/>
      <c r="M15" s="30" t="n"/>
      <c r="N15" s="30" t="n"/>
    </row>
    <row r="16" ht="17" customHeight="1">
      <c r="A16" s="43">
        <f>IF($B16&lt;&gt;"",ROW()-4,"")</f>
        <v/>
      </c>
      <c r="B16" s="30" t="n"/>
      <c r="C16" s="30" t="n"/>
      <c r="D16" s="30" t="n"/>
      <c r="E16" s="43" t="n"/>
      <c r="F16" s="43" t="n"/>
      <c r="G16" s="43" t="n"/>
      <c r="H16" s="30">
        <f>IF($B16&lt;&gt;"","Tiara Maelani","")</f>
        <v/>
      </c>
      <c r="J16" s="45" t="inlineStr">
        <is>
          <t>Rabu</t>
        </is>
      </c>
      <c r="K16" s="46" t="n"/>
      <c r="L16" s="30" t="n"/>
      <c r="M16" s="30" t="n"/>
      <c r="N16" s="30" t="n"/>
    </row>
    <row r="17" ht="17" customHeight="1">
      <c r="A17" s="43">
        <f>IF($B17&lt;&gt;"",ROW()-4,"")</f>
        <v/>
      </c>
      <c r="B17" s="30" t="n"/>
      <c r="C17" s="30" t="n"/>
      <c r="D17" s="30" t="n"/>
      <c r="E17" s="43" t="n"/>
      <c r="F17" s="43" t="n"/>
      <c r="G17" s="43" t="n"/>
      <c r="H17" s="30">
        <f>IF($B17&lt;&gt;"","Tiara Maelani","")</f>
        <v/>
      </c>
      <c r="J17" s="47" t="n"/>
      <c r="K17" s="46" t="n"/>
      <c r="L17" s="30" t="n"/>
      <c r="M17" s="30" t="n"/>
      <c r="N17" s="30" t="n"/>
    </row>
    <row r="18" ht="17" customHeight="1">
      <c r="A18" s="43">
        <f>IF($B18&lt;&gt;"",ROW()-4,"")</f>
        <v/>
      </c>
      <c r="B18" s="30" t="n"/>
      <c r="C18" s="30" t="n"/>
      <c r="D18" s="30" t="n"/>
      <c r="E18" s="43" t="n"/>
      <c r="F18" s="43" t="n"/>
      <c r="G18" s="43" t="n"/>
      <c r="H18" s="30">
        <f>IF($B18&lt;&gt;"","Tiara Maelani","")</f>
        <v/>
      </c>
      <c r="J18" s="47" t="n"/>
      <c r="K18" s="46" t="n"/>
      <c r="L18" s="30" t="n"/>
      <c r="M18" s="30" t="n"/>
      <c r="N18" s="30" t="n"/>
    </row>
    <row r="19" ht="17" customHeight="1">
      <c r="A19" s="43">
        <f>IF($B19&lt;&gt;"",ROW()-4,"")</f>
        <v/>
      </c>
      <c r="B19" s="30" t="n"/>
      <c r="C19" s="30" t="n"/>
      <c r="D19" s="30" t="n"/>
      <c r="E19" s="43" t="n"/>
      <c r="F19" s="43" t="n"/>
      <c r="G19" s="43" t="n"/>
      <c r="H19" s="30">
        <f>IF($B19&lt;&gt;"","Tiara Maelani","")</f>
        <v/>
      </c>
      <c r="J19" s="47" t="n"/>
      <c r="K19" s="46" t="n"/>
      <c r="L19" s="30" t="n"/>
      <c r="M19" s="30" t="n"/>
      <c r="N19" s="30" t="n"/>
    </row>
    <row r="20" ht="17" customHeight="1">
      <c r="A20" s="43">
        <f>IF($B20&lt;&gt;"",ROW()-4,"")</f>
        <v/>
      </c>
      <c r="B20" s="30" t="n"/>
      <c r="C20" s="30" t="n"/>
      <c r="D20" s="30" t="n"/>
      <c r="E20" s="43" t="n"/>
      <c r="F20" s="43" t="n"/>
      <c r="G20" s="43" t="n"/>
      <c r="H20" s="30">
        <f>IF($B20&lt;&gt;"","Tiara Maelani","")</f>
        <v/>
      </c>
      <c r="J20" s="47" t="n"/>
      <c r="K20" s="46" t="n"/>
      <c r="L20" s="30" t="n"/>
      <c r="M20" s="30" t="n"/>
      <c r="N20" s="30" t="n"/>
    </row>
    <row r="21" ht="17" customHeight="1">
      <c r="A21" s="43">
        <f>IF($B21&lt;&gt;"",ROW()-4,"")</f>
        <v/>
      </c>
      <c r="B21" s="30" t="n"/>
      <c r="C21" s="30" t="n"/>
      <c r="D21" s="30" t="n"/>
      <c r="E21" s="43" t="n"/>
      <c r="F21" s="43" t="n"/>
      <c r="G21" s="43" t="n"/>
      <c r="H21" s="30">
        <f>IF($B21&lt;&gt;"","Tiara Maelani","")</f>
        <v/>
      </c>
      <c r="J21" s="45" t="inlineStr">
        <is>
          <t>Kamis</t>
        </is>
      </c>
      <c r="K21" s="46" t="n"/>
      <c r="L21" s="30" t="n"/>
      <c r="M21" s="30" t="n"/>
      <c r="N21" s="30" t="n"/>
    </row>
    <row r="22" ht="17" customHeight="1">
      <c r="A22" s="43">
        <f>IF($B22&lt;&gt;"",ROW()-4,"")</f>
        <v/>
      </c>
      <c r="B22" s="30" t="n"/>
      <c r="C22" s="30" t="n"/>
      <c r="D22" s="30" t="n"/>
      <c r="E22" s="43" t="n"/>
      <c r="F22" s="43" t="n"/>
      <c r="G22" s="43" t="n"/>
      <c r="H22" s="30">
        <f>IF($B22&lt;&gt;"","Tiara Maelani","")</f>
        <v/>
      </c>
      <c r="J22" s="47" t="n"/>
      <c r="K22" s="46" t="n"/>
      <c r="L22" s="30" t="n"/>
      <c r="M22" s="30" t="n"/>
      <c r="N22" s="30" t="n"/>
    </row>
    <row r="23" ht="17" customHeight="1">
      <c r="A23" s="43">
        <f>IF($B23&lt;&gt;"",ROW()-4,"")</f>
        <v/>
      </c>
      <c r="B23" s="30" t="n"/>
      <c r="C23" s="30" t="n"/>
      <c r="D23" s="30" t="n"/>
      <c r="E23" s="43" t="n"/>
      <c r="F23" s="43" t="n"/>
      <c r="G23" s="43" t="n"/>
      <c r="H23" s="30">
        <f>IF($B23&lt;&gt;"","Tiara Maelani","")</f>
        <v/>
      </c>
      <c r="J23" s="47" t="n"/>
      <c r="K23" s="46" t="n"/>
      <c r="L23" s="30" t="n"/>
      <c r="M23" s="30" t="n"/>
      <c r="N23" s="30" t="n"/>
    </row>
    <row r="24" ht="17" customHeight="1">
      <c r="A24" s="43">
        <f>IF($B24&lt;&gt;"",ROW()-4,"")</f>
        <v/>
      </c>
      <c r="B24" s="30" t="n"/>
      <c r="C24" s="30" t="n"/>
      <c r="D24" s="30" t="n"/>
      <c r="E24" s="43" t="n"/>
      <c r="F24" s="43" t="n"/>
      <c r="G24" s="43" t="n"/>
      <c r="H24" s="30">
        <f>IF($B24&lt;&gt;"","Tiara Maelani","")</f>
        <v/>
      </c>
      <c r="J24" s="47" t="n"/>
      <c r="K24" s="46" t="n"/>
      <c r="L24" s="30" t="n"/>
      <c r="M24" s="30" t="n"/>
      <c r="N24" s="30" t="n"/>
    </row>
    <row r="25" ht="17" customHeight="1">
      <c r="A25" s="43">
        <f>IF($B25&lt;&gt;"",ROW()-4,"")</f>
        <v/>
      </c>
      <c r="B25" s="30" t="n"/>
      <c r="C25" s="30" t="n"/>
      <c r="D25" s="30" t="n"/>
      <c r="E25" s="43" t="n"/>
      <c r="F25" s="43" t="n"/>
      <c r="G25" s="43" t="n"/>
      <c r="H25" s="30">
        <f>IF($B25&lt;&gt;"","Tiara Maelani","")</f>
        <v/>
      </c>
      <c r="J25" s="47" t="n"/>
      <c r="K25" s="46" t="n"/>
      <c r="L25" s="30" t="n"/>
      <c r="M25" s="30" t="n"/>
      <c r="N25" s="30" t="n"/>
    </row>
    <row r="26" ht="17" customHeight="1">
      <c r="A26" s="43">
        <f>IF($B26&lt;&gt;"",ROW()-4,"")</f>
        <v/>
      </c>
      <c r="B26" s="30" t="n"/>
      <c r="C26" s="30" t="n"/>
      <c r="D26" s="30" t="n"/>
      <c r="E26" s="43" t="n"/>
      <c r="F26" s="43" t="n"/>
      <c r="G26" s="43" t="n"/>
      <c r="H26" s="30">
        <f>IF($B26&lt;&gt;"","Tiara Maelani","")</f>
        <v/>
      </c>
      <c r="J26" s="45" t="inlineStr">
        <is>
          <t>Jumat</t>
        </is>
      </c>
      <c r="K26" s="46" t="n"/>
      <c r="L26" s="30" t="n"/>
      <c r="M26" s="30" t="n"/>
      <c r="N26" s="30" t="n"/>
    </row>
    <row r="27" ht="17" customHeight="1">
      <c r="A27" s="43">
        <f>IF($B27&lt;&gt;"",ROW()-4,"")</f>
        <v/>
      </c>
      <c r="B27" s="30" t="n"/>
      <c r="C27" s="30" t="n"/>
      <c r="D27" s="30" t="n"/>
      <c r="E27" s="43" t="n"/>
      <c r="F27" s="43" t="n"/>
      <c r="G27" s="43" t="n"/>
      <c r="H27" s="30">
        <f>IF($B27&lt;&gt;"","Tiara Maelani","")</f>
        <v/>
      </c>
      <c r="J27" s="47" t="n"/>
      <c r="K27" s="46" t="n"/>
      <c r="L27" s="30" t="n"/>
      <c r="M27" s="30" t="n"/>
      <c r="N27" s="30" t="n"/>
    </row>
    <row r="28" ht="17" customHeight="1">
      <c r="A28" s="43">
        <f>IF($B28&lt;&gt;"",ROW()-4,"")</f>
        <v/>
      </c>
      <c r="B28" s="30" t="n"/>
      <c r="C28" s="30" t="n"/>
      <c r="D28" s="30" t="n"/>
      <c r="E28" s="43" t="n"/>
      <c r="F28" s="43" t="n"/>
      <c r="G28" s="43" t="n"/>
      <c r="H28" s="30">
        <f>IF($B28&lt;&gt;"","Tiara Maelani","")</f>
        <v/>
      </c>
      <c r="J28" s="47" t="n"/>
      <c r="K28" s="46" t="n"/>
      <c r="L28" s="30" t="n"/>
      <c r="M28" s="30" t="n"/>
      <c r="N28" s="30" t="n"/>
    </row>
    <row r="29" ht="17" customHeight="1">
      <c r="A29" s="43">
        <f>IF($B29&lt;&gt;"",ROW()-4,"")</f>
        <v/>
      </c>
      <c r="B29" s="30" t="n"/>
      <c r="C29" s="30" t="n"/>
      <c r="D29" s="30" t="n"/>
      <c r="E29" s="43" t="n"/>
      <c r="F29" s="43" t="n"/>
      <c r="G29" s="43" t="n"/>
      <c r="H29" s="30">
        <f>IF($B29&lt;&gt;"","Tiara Maelani","")</f>
        <v/>
      </c>
      <c r="J29" s="47" t="n"/>
      <c r="K29" s="46" t="n"/>
      <c r="L29" s="30" t="n"/>
      <c r="M29" s="30" t="n"/>
      <c r="N29" s="30" t="n"/>
    </row>
    <row r="30" ht="17" customHeight="1">
      <c r="A30" s="43">
        <f>IF($B30&lt;&gt;"",ROW()-4,"")</f>
        <v/>
      </c>
      <c r="B30" s="30" t="n"/>
      <c r="C30" s="30" t="n"/>
      <c r="D30" s="30" t="n"/>
      <c r="E30" s="43" t="n"/>
      <c r="F30" s="43" t="n"/>
      <c r="G30" s="43" t="n"/>
      <c r="H30" s="30">
        <f>IF($B30&lt;&gt;"","Tiara Maelani","")</f>
        <v/>
      </c>
      <c r="J30" s="47" t="n"/>
      <c r="K30" s="46" t="n"/>
      <c r="L30" s="30" t="n"/>
      <c r="M30" s="30" t="n"/>
      <c r="N30" s="30" t="n"/>
    </row>
    <row r="31" ht="17" customHeight="1">
      <c r="A31" s="43">
        <f>IF($B31&lt;&gt;"",ROW()-4,"")</f>
        <v/>
      </c>
      <c r="B31" s="30" t="n"/>
      <c r="C31" s="30" t="n"/>
      <c r="D31" s="30" t="n"/>
      <c r="E31" s="43" t="n"/>
      <c r="F31" s="43" t="n"/>
      <c r="G31" s="43" t="n"/>
      <c r="H31" s="30">
        <f>IF($B31&lt;&gt;"","Tiara Maelani","")</f>
        <v/>
      </c>
      <c r="J31" s="48" t="inlineStr">
        <is>
          <t>Sabtu</t>
        </is>
      </c>
      <c r="K31" s="46" t="n"/>
      <c r="L31" s="30" t="n"/>
      <c r="M31" s="30" t="n"/>
      <c r="N31" s="30" t="n"/>
    </row>
    <row r="32" ht="17" customHeight="1">
      <c r="A32" s="43">
        <f>IF($B32&lt;&gt;"",ROW()-4,"")</f>
        <v/>
      </c>
      <c r="B32" s="30" t="n"/>
      <c r="C32" s="30" t="n"/>
      <c r="D32" s="30" t="n"/>
      <c r="E32" s="43" t="n"/>
      <c r="F32" s="43" t="n"/>
      <c r="G32" s="43" t="n"/>
      <c r="H32" s="30">
        <f>IF($B32&lt;&gt;"","Tiara Maelani","")</f>
        <v/>
      </c>
      <c r="J32" s="49" t="n"/>
      <c r="K32" s="46" t="n"/>
      <c r="L32" s="30" t="n"/>
      <c r="M32" s="30" t="n"/>
      <c r="N32" s="30" t="n"/>
    </row>
    <row r="33" ht="17" customHeight="1">
      <c r="A33" s="43">
        <f>IF($B33&lt;&gt;"",ROW()-4,"")</f>
        <v/>
      </c>
      <c r="B33" s="30" t="n"/>
      <c r="C33" s="30" t="n"/>
      <c r="D33" s="30" t="n"/>
      <c r="E33" s="43" t="n"/>
      <c r="F33" s="43" t="n"/>
      <c r="G33" s="43" t="n"/>
      <c r="H33" s="30">
        <f>IF($B33&lt;&gt;"","Tiara Maelani","")</f>
        <v/>
      </c>
      <c r="J33" s="49" t="n"/>
      <c r="K33" s="46" t="n"/>
      <c r="L33" s="30" t="n"/>
      <c r="M33" s="30" t="n"/>
      <c r="N33" s="30" t="n"/>
    </row>
    <row r="34" ht="17" customHeight="1">
      <c r="A34" s="43">
        <f>IF($B34&lt;&gt;"",ROW()-4,"")</f>
        <v/>
      </c>
      <c r="B34" s="30" t="n"/>
      <c r="C34" s="30" t="n"/>
      <c r="D34" s="30" t="n"/>
      <c r="E34" s="43" t="n"/>
      <c r="F34" s="43" t="n"/>
      <c r="G34" s="43" t="n"/>
      <c r="H34" s="30">
        <f>IF($B34&lt;&gt;"","Tiara Maelani","")</f>
        <v/>
      </c>
      <c r="J34" s="49" t="n"/>
      <c r="K34" s="46" t="n"/>
      <c r="L34" s="30" t="n"/>
      <c r="M34" s="30" t="n"/>
      <c r="N34" s="30" t="n"/>
    </row>
    <row r="35" ht="17" customHeight="1">
      <c r="A35" s="43">
        <f>IF($B35&lt;&gt;"",ROW()-4,"")</f>
        <v/>
      </c>
      <c r="B35" s="30" t="n"/>
      <c r="C35" s="30" t="n"/>
      <c r="D35" s="30" t="n"/>
      <c r="E35" s="43" t="n"/>
      <c r="F35" s="43" t="n"/>
      <c r="G35" s="43" t="n"/>
      <c r="H35" s="30">
        <f>IF($B35&lt;&gt;"","Tiara Maelani","")</f>
        <v/>
      </c>
      <c r="J35" s="49" t="n"/>
      <c r="K35" s="46" t="n"/>
      <c r="L35" s="30" t="n"/>
      <c r="M35" s="30" t="n"/>
      <c r="N35" s="30" t="n"/>
    </row>
    <row r="36" ht="17" customHeight="1">
      <c r="A36" s="43">
        <f>IF($B36&lt;&gt;"",ROW()-4,"")</f>
        <v/>
      </c>
      <c r="B36" s="30" t="n"/>
      <c r="C36" s="30" t="n"/>
      <c r="D36" s="30" t="n"/>
      <c r="E36" s="43" t="n"/>
      <c r="F36" s="43" t="n"/>
      <c r="G36" s="43" t="n"/>
      <c r="H36" s="30">
        <f>IF($B36&lt;&gt;"","Tiara Maelani","")</f>
        <v/>
      </c>
      <c r="J36" s="49" t="n"/>
      <c r="K36" s="46" t="n"/>
      <c r="L36" s="30" t="n"/>
      <c r="M36" s="30" t="n"/>
      <c r="N36" s="30" t="n"/>
    </row>
    <row r="37" ht="17" customHeight="1">
      <c r="A37" s="43">
        <f>IF($B37&lt;&gt;"",ROW()-4,"")</f>
        <v/>
      </c>
      <c r="B37" s="30" t="n"/>
      <c r="C37" s="30" t="n"/>
      <c r="D37" s="30" t="n"/>
      <c r="E37" s="43" t="n"/>
      <c r="F37" s="43" t="n"/>
      <c r="G37" s="43" t="n"/>
      <c r="H37" s="30">
        <f>IF($B37&lt;&gt;"","Tiara Maelani","")</f>
        <v/>
      </c>
      <c r="J37" s="49" t="n"/>
      <c r="K37" s="46" t="n"/>
      <c r="L37" s="30" t="n"/>
      <c r="M37" s="30" t="n"/>
      <c r="N37" s="30" t="n"/>
    </row>
    <row r="38" ht="17" customHeight="1">
      <c r="A38" s="43">
        <f>IF($B38&lt;&gt;"",ROW()-4,"")</f>
        <v/>
      </c>
      <c r="B38" s="30" t="n"/>
      <c r="C38" s="30" t="n"/>
      <c r="D38" s="30" t="n"/>
      <c r="E38" s="43" t="n"/>
      <c r="F38" s="43" t="n"/>
      <c r="G38" s="43" t="n"/>
      <c r="H38" s="30">
        <f>IF($B38&lt;&gt;"","Tiara Maelani","")</f>
        <v/>
      </c>
      <c r="J38" s="49" t="n"/>
      <c r="K38" s="46" t="n"/>
      <c r="L38" s="30" t="n"/>
      <c r="M38" s="30" t="n"/>
      <c r="N38" s="30" t="n"/>
    </row>
    <row r="39" ht="17" customHeight="1">
      <c r="A39" s="43">
        <f>IF($B39&lt;&gt;"",ROW()-4,"")</f>
        <v/>
      </c>
      <c r="B39" s="30" t="n"/>
      <c r="C39" s="30" t="n"/>
      <c r="D39" s="30" t="n"/>
      <c r="E39" s="43" t="n"/>
      <c r="F39" s="43" t="n"/>
      <c r="G39" s="43" t="n"/>
      <c r="H39" s="30">
        <f>IF($B39&lt;&gt;"","Tiara Maelani","")</f>
        <v/>
      </c>
      <c r="J39" s="49" t="n"/>
      <c r="K39" s="46" t="n"/>
      <c r="L39" s="30" t="n"/>
      <c r="M39" s="30" t="n"/>
      <c r="N39" s="30" t="n"/>
    </row>
    <row r="40" ht="17" customHeight="1">
      <c r="A40" s="43">
        <f>IF($B40&lt;&gt;"",ROW()-4,"")</f>
        <v/>
      </c>
      <c r="B40" s="30" t="n"/>
      <c r="C40" s="30" t="n"/>
      <c r="D40" s="30" t="n"/>
      <c r="E40" s="43" t="n"/>
      <c r="F40" s="43" t="n"/>
      <c r="G40" s="43" t="n"/>
      <c r="H40" s="30">
        <f>IF($B40&lt;&gt;"","Tiara Maelani","")</f>
        <v/>
      </c>
      <c r="J40" s="49" t="n"/>
      <c r="K40" s="46" t="n"/>
      <c r="L40" s="30" t="n"/>
      <c r="M40" s="30" t="n"/>
      <c r="N40" s="30" t="n"/>
    </row>
    <row r="41" ht="17" customHeight="1">
      <c r="A41" s="43">
        <f>IF($B41&lt;&gt;"",ROW()-4,"")</f>
        <v/>
      </c>
      <c r="B41" s="30" t="n"/>
      <c r="C41" s="30" t="n"/>
      <c r="D41" s="30" t="n"/>
      <c r="E41" s="43" t="n"/>
      <c r="F41" s="43" t="n"/>
      <c r="G41" s="43" t="n"/>
      <c r="H41" s="30">
        <f>IF($B41&lt;&gt;"","Tiara Maelani","")</f>
        <v/>
      </c>
      <c r="J41" s="48" t="inlineStr">
        <is>
          <t>Minggu</t>
        </is>
      </c>
      <c r="K41" s="46" t="n"/>
      <c r="L41" s="30" t="n"/>
      <c r="M41" s="30" t="n"/>
      <c r="N41" s="30" t="n"/>
    </row>
    <row r="42" ht="17" customHeight="1">
      <c r="A42" s="43">
        <f>IF($B42&lt;&gt;"",ROW()-4,"")</f>
        <v/>
      </c>
      <c r="B42" s="30" t="n"/>
      <c r="C42" s="30" t="n"/>
      <c r="D42" s="30" t="n"/>
      <c r="E42" s="43" t="n"/>
      <c r="F42" s="43" t="n"/>
      <c r="G42" s="43" t="n"/>
      <c r="H42" s="30">
        <f>IF($B42&lt;&gt;"","Tiara Maelani","")</f>
        <v/>
      </c>
      <c r="J42" s="49" t="n"/>
      <c r="K42" s="46" t="n"/>
      <c r="L42" s="30" t="n"/>
      <c r="M42" s="30" t="n"/>
      <c r="N42" s="30" t="n"/>
    </row>
    <row r="43" ht="17" customHeight="1">
      <c r="A43" s="43">
        <f>IF($B43&lt;&gt;"",ROW()-4,"")</f>
        <v/>
      </c>
      <c r="B43" s="30" t="n"/>
      <c r="C43" s="30" t="n"/>
      <c r="D43" s="30" t="n"/>
      <c r="E43" s="43" t="n"/>
      <c r="F43" s="43" t="n"/>
      <c r="G43" s="43" t="n"/>
      <c r="H43" s="30">
        <f>IF($B43&lt;&gt;"","Tiara Maelani","")</f>
        <v/>
      </c>
      <c r="J43" s="49" t="n"/>
      <c r="K43" s="46" t="n"/>
      <c r="L43" s="30" t="n"/>
      <c r="M43" s="30" t="n"/>
      <c r="N43" s="30" t="n"/>
    </row>
    <row r="44" ht="17" customHeight="1">
      <c r="A44" s="43">
        <f>IF($B44&lt;&gt;"",ROW()-4,"")</f>
        <v/>
      </c>
      <c r="B44" s="30" t="n"/>
      <c r="C44" s="30" t="n"/>
      <c r="D44" s="30" t="n"/>
      <c r="E44" s="43" t="n"/>
      <c r="F44" s="43" t="n"/>
      <c r="G44" s="43" t="n"/>
      <c r="H44" s="30">
        <f>IF($B44&lt;&gt;"","Tiara Maelani","")</f>
        <v/>
      </c>
      <c r="J44" s="49" t="n"/>
      <c r="K44" s="46" t="n"/>
      <c r="L44" s="30" t="n"/>
      <c r="M44" s="30" t="n"/>
      <c r="N44" s="30" t="n"/>
    </row>
    <row r="45" ht="17" customHeight="1">
      <c r="A45" s="43">
        <f>IF($B45&lt;&gt;"",ROW()-4,"")</f>
        <v/>
      </c>
      <c r="B45" s="30" t="n"/>
      <c r="C45" s="30" t="n"/>
      <c r="D45" s="30" t="n"/>
      <c r="E45" s="43" t="n"/>
      <c r="F45" s="43" t="n"/>
      <c r="G45" s="43" t="n"/>
      <c r="H45" s="30">
        <f>IF($B45&lt;&gt;"","Tiara Maelani","")</f>
        <v/>
      </c>
      <c r="J45" s="49" t="n"/>
      <c r="K45" s="46" t="n"/>
      <c r="L45" s="30" t="n"/>
      <c r="M45" s="30" t="n"/>
      <c r="N45" s="30" t="n"/>
    </row>
    <row r="46" ht="17" customHeight="1">
      <c r="A46" s="43">
        <f>IF($B46&lt;&gt;"",ROW()-4,"")</f>
        <v/>
      </c>
      <c r="B46" s="30" t="n"/>
      <c r="C46" s="30" t="n"/>
      <c r="D46" s="30" t="n"/>
      <c r="E46" s="43" t="n"/>
      <c r="F46" s="43" t="n"/>
      <c r="G46" s="43" t="n"/>
      <c r="H46" s="30">
        <f>IF($B46&lt;&gt;"","Tiara Maelani","")</f>
        <v/>
      </c>
      <c r="J46" s="49" t="n"/>
      <c r="K46" s="46" t="n"/>
      <c r="L46" s="30" t="n"/>
      <c r="M46" s="30" t="n"/>
      <c r="N46" s="30" t="n"/>
    </row>
    <row r="47" ht="17" customHeight="1">
      <c r="A47" s="43">
        <f>IF($B47&lt;&gt;"",ROW()-4,"")</f>
        <v/>
      </c>
      <c r="B47" s="30" t="n"/>
      <c r="C47" s="30" t="n"/>
      <c r="D47" s="30" t="n"/>
      <c r="E47" s="43" t="n"/>
      <c r="F47" s="43" t="n"/>
      <c r="G47" s="43" t="n"/>
      <c r="H47" s="30">
        <f>IF($B47&lt;&gt;"","Tiara Maelani","")</f>
        <v/>
      </c>
      <c r="J47" s="49" t="n"/>
      <c r="K47" s="46" t="n"/>
      <c r="L47" s="30" t="n"/>
      <c r="M47" s="30" t="n"/>
      <c r="N47" s="30" t="n"/>
    </row>
    <row r="48" ht="17" customHeight="1">
      <c r="A48" s="43">
        <f>IF($B48&lt;&gt;"",ROW()-4,"")</f>
        <v/>
      </c>
      <c r="B48" s="30" t="n"/>
      <c r="C48" s="30" t="n"/>
      <c r="D48" s="30" t="n"/>
      <c r="E48" s="43" t="n"/>
      <c r="F48" s="43" t="n"/>
      <c r="G48" s="43" t="n"/>
      <c r="H48" s="30">
        <f>IF($B48&lt;&gt;"","Tiara Maelani","")</f>
        <v/>
      </c>
      <c r="J48" s="49" t="n"/>
      <c r="K48" s="46" t="n"/>
      <c r="L48" s="30" t="n"/>
      <c r="M48" s="30" t="n"/>
      <c r="N48" s="30" t="n"/>
    </row>
    <row r="49" ht="17" customHeight="1">
      <c r="A49" s="43">
        <f>IF($B49&lt;&gt;"",ROW()-4,"")</f>
        <v/>
      </c>
      <c r="B49" s="30" t="n"/>
      <c r="C49" s="30" t="n"/>
      <c r="D49" s="30" t="n"/>
      <c r="E49" s="43" t="n"/>
      <c r="F49" s="43" t="n"/>
      <c r="G49" s="43" t="n"/>
      <c r="H49" s="30">
        <f>IF($B49&lt;&gt;"","Tiara Maelani","")</f>
        <v/>
      </c>
      <c r="J49" s="49" t="n"/>
      <c r="K49" s="46" t="n"/>
      <c r="L49" s="30" t="n"/>
      <c r="M49" s="30" t="n"/>
      <c r="N49" s="30" t="n"/>
    </row>
    <row r="50" ht="17" customHeight="1">
      <c r="A50" s="43">
        <f>IF($B50&lt;&gt;"",ROW()-4,"")</f>
        <v/>
      </c>
      <c r="B50" s="30" t="n"/>
      <c r="C50" s="30" t="n"/>
      <c r="D50" s="30" t="n"/>
      <c r="E50" s="43" t="n"/>
      <c r="F50" s="43" t="n"/>
      <c r="G50" s="43" t="n"/>
      <c r="H50" s="30">
        <f>IF($B50&lt;&gt;"","Tiara Maelani","")</f>
        <v/>
      </c>
      <c r="J50" s="49" t="n"/>
      <c r="K50" s="46" t="n"/>
      <c r="L50" s="30" t="n"/>
      <c r="M50" s="30" t="n"/>
      <c r="N50" s="30" t="n"/>
    </row>
    <row r="51" ht="17" customHeight="1">
      <c r="A51" s="43">
        <f>IF($B51&lt;&gt;"",ROW()-4,"")</f>
        <v/>
      </c>
      <c r="B51" s="30" t="n"/>
      <c r="C51" s="30" t="n"/>
      <c r="D51" s="30" t="n"/>
      <c r="E51" s="43" t="n"/>
      <c r="F51" s="43" t="n"/>
      <c r="G51" s="43" t="n"/>
      <c r="H51" s="30">
        <f>IF($B51&lt;&gt;"","Tiara Maelani","")</f>
        <v/>
      </c>
    </row>
    <row r="52" ht="17" customHeight="1">
      <c r="A52" s="43">
        <f>IF($B52&lt;&gt;"",ROW()-4,"")</f>
        <v/>
      </c>
      <c r="B52" s="30" t="n"/>
      <c r="C52" s="30" t="n"/>
      <c r="D52" s="30" t="n"/>
      <c r="E52" s="43" t="n"/>
      <c r="F52" s="43" t="n"/>
      <c r="G52" s="43" t="n"/>
      <c r="H52" s="30">
        <f>IF($B52&lt;&gt;"","Tiara Maelani","")</f>
        <v/>
      </c>
    </row>
    <row r="53" ht="17" customHeight="1">
      <c r="A53" s="43">
        <f>IF($B53&lt;&gt;"",ROW()-4,"")</f>
        <v/>
      </c>
      <c r="B53" s="30" t="n"/>
      <c r="C53" s="30" t="n"/>
      <c r="D53" s="30" t="n"/>
      <c r="E53" s="43" t="n"/>
      <c r="F53" s="43" t="n"/>
      <c r="G53" s="43" t="n"/>
      <c r="H53" s="30">
        <f>IF($B53&lt;&gt;"","Tiara Maelani","")</f>
        <v/>
      </c>
    </row>
    <row r="54" ht="17" customHeight="1">
      <c r="A54" s="43">
        <f>IF($B54&lt;&gt;"",ROW()-4,"")</f>
        <v/>
      </c>
      <c r="B54" s="30" t="n"/>
      <c r="C54" s="30" t="n"/>
      <c r="D54" s="30" t="n"/>
      <c r="E54" s="43" t="n"/>
      <c r="F54" s="43" t="n"/>
      <c r="G54" s="43" t="n"/>
      <c r="H54" s="30">
        <f>IF($B54&lt;&gt;"","Tiara Maelani","")</f>
        <v/>
      </c>
    </row>
  </sheetData>
  <mergeCells count="7">
    <mergeCell ref="J26:J30"/>
    <mergeCell ref="J21:J25"/>
    <mergeCell ref="J11:J15"/>
    <mergeCell ref="J41:J50"/>
    <mergeCell ref="J16:J20"/>
    <mergeCell ref="J6:J10"/>
    <mergeCell ref="J31:J40"/>
  </mergeCells>
  <conditionalFormatting sqref="C5:C54">
    <cfRule type="expression" priority="1" dxfId="1">
      <formula>$C5="Private Class"</formula>
    </cfRule>
    <cfRule type="expression" priority="2" dxfId="1">
      <formula>$C5="Couple Class"</formula>
    </cfRule>
    <cfRule type="expression" priority="3" dxfId="1">
      <formula>$C5="Group Class"</formula>
    </cfRule>
    <cfRule type="expression" priority="4" dxfId="1">
      <formula>$C5="Reguler Class"</formula>
    </cfRule>
    <cfRule type="expression" priority="5" dxfId="2">
      <formula>$C5="Baby Swim"</formula>
    </cfRule>
    <cfRule type="expression" priority="6" dxfId="2">
      <formula>$C5="Hydrotherapy Class"</formula>
    </cfRule>
  </conditionalFormatting>
  <conditionalFormatting sqref="F5:F54">
    <cfRule type="expression" priority="7" dxfId="3">
      <formula>$F5="Rendah"</formula>
    </cfRule>
    <cfRule type="expression" priority="8" dxfId="4">
      <formula>$F5="Sedang"</formula>
    </cfRule>
    <cfRule type="expression" priority="9" dxfId="5">
      <formula>$F5="Tinggi"</formula>
    </cfRule>
  </conditionalFormatting>
  <conditionalFormatting sqref="G5:G54">
    <cfRule type="expression" priority="10" dxfId="6">
      <formula>$G5="Sudah"</formula>
    </cfRule>
    <cfRule type="expression" priority="11" dxfId="7">
      <formula>$G5="Belum"</formula>
    </cfRule>
  </conditionalFormatting>
  <dataValidations count="8">
    <dataValidation sqref="C5:C54" showDropDown="0" showInputMessage="0" showErrorMessage="1" allowBlank="1" errorTitle="Pilihan tidak valid" error="Silakan pilih dari daftar dropdown." type="list">
      <formula1>=Daftar!$G$2:$G$7</formula1>
    </dataValidation>
    <dataValidation sqref="D5:D54" showDropDown="0" showInputMessage="0" showErrorMessage="1" allowBlank="1" errorTitle="Pilihan tidak valid" error="Silakan pilih dari daftar dropdown." type="list">
      <formula1>=Daftar!$E$2:$E$16</formula1>
    </dataValidation>
    <dataValidation sqref="E5:E54" showDropDown="0" showInputMessage="0" showErrorMessage="1" allowBlank="1" errorTitle="Pilihan tidak valid" error="Silakan pilih dari daftar dropdown." type="list">
      <formula1>=Daftar!$K$2:$K$3</formula1>
    </dataValidation>
    <dataValidation sqref="F5:F54" showDropDown="0" showInputMessage="0" showErrorMessage="1" allowBlank="1" errorTitle="Pilihan tidak valid" error="Silakan pilih dari daftar dropdown." type="list">
      <formula1>=Daftar!$M$2:$M$4</formula1>
    </dataValidation>
    <dataValidation sqref="G5:G54" showDropDown="0" showInputMessage="0" showErrorMessage="1" allowBlank="1" errorTitle="Pilihan tidak valid" error="Silakan pilih dari daftar dropdown." type="list">
      <formula1>=Daftar!$O$2:$O$3</formula1>
    </dataValidation>
    <dataValidation sqref="M6:M50" showDropDown="0" showInputMessage="0" showErrorMessage="1" allowBlank="1" errorTitle="Pilihan tidak valid" error="Silakan pilih dari daftar dropdown." type="list">
      <formula1>=Daftar!$C$2:$C$7</formula1>
    </dataValidation>
    <dataValidation sqref="N6:N50" showDropDown="0" showInputMessage="0" showErrorMessage="1" allowBlank="1" errorTitle="Pilihan tidak valid" error="Silakan pilih dari daftar dropdown." type="list">
      <formula1>=Daftar!$A$2:$A$25</formula1>
    </dataValidation>
    <dataValidation sqref="L6:L50" showDropDown="0" showInputMessage="0" showErrorMessage="0" allowBlank="1" type="list">
      <formula1>=$B$5:$B$54</formula1>
    </dataValidation>
  </dataValidations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4" customWidth="1" min="1" max="1"/>
    <col width="30" customWidth="1" min="2" max="2"/>
    <col width="20" customWidth="1" min="3" max="3"/>
    <col width="18" customWidth="1" min="4" max="4"/>
  </cols>
  <sheetData>
    <row r="1">
      <c r="A1" s="50" t="inlineStr">
        <is>
          <t>Nama</t>
        </is>
      </c>
      <c r="B1" s="50" t="inlineStr">
        <is>
          <t>Coach</t>
        </is>
      </c>
      <c r="C1" s="50" t="inlineStr">
        <is>
          <t>Program</t>
        </is>
      </c>
      <c r="D1" s="50" t="inlineStr">
        <is>
          <t>Level</t>
        </is>
      </c>
      <c r="F1" s="51" t="inlineStr">
        <is>
          <t>Rumus di A2 menggabungkan 30 tab coach (SORT+FILTER, Google Sheets). Jangan diubah.</t>
        </is>
      </c>
    </row>
    <row r="2">
      <c r="A2">
        <f>IFERROR(SORT(FILTER({'Aina Triyana Anggraini'!$B$5:$B$54,'Aina Triyana Anggraini'!$H$5:$H$54,'Aina Triyana Anggraini'!$C$5:$C$54,'Aina Triyana Anggraini'!$D$5:$D$54;'Aldi Suryadinata'!$B$5:$B$54,'Aldi Suryadinata'!$H$5:$H$54,'Aldi Suryadinata'!$C$5:$C$54,'Aldi Suryadinata'!$D$5:$D$54;'Asyahlan Hielmy'!$B$5:$B$54,'Asyahlan Hielmy'!$H$5:$H$54,'Asyahlan Hielmy'!$C$5:$C$54,'Asyahlan Hielmy'!$D$5:$D$54;'Asyira Nur Haida'!$B$5:$B$54,'Asyira Nur Haida'!$H$5:$H$54,'Asyira Nur Haida'!$C$5:$C$54,'Asyira Nur Haida'!$D$5:$D$54;'Bayu Rizki Alfarizi'!$B$5:$B$54,'Bayu Rizki Alfarizi'!$H$5:$H$54,'Bayu Rizki Alfarizi'!$C$5:$C$54,'Bayu Rizki Alfarizi'!$D$5:$D$54;'Chandanie Nely Agustin'!$B$5:$B$54,'Chandanie Nely Agustin'!$H$5:$H$54,'Chandanie Nely Agustin'!$C$5:$C$54,'Chandanie Nely Agustin'!$D$5:$D$54;'Dida Zein Risty'!$B$5:$B$54,'Dida Zein Risty'!$H$5:$H$54,'Dida Zein Risty'!$C$5:$C$54,'Dida Zein Risty'!$D$5:$D$54;'Fadil Rijatul Haq'!$B$5:$B$54,'Fadil Rijatul Haq'!$H$5:$H$54,'Fadil Rijatul Haq'!$C$5:$C$54,'Fadil Rijatul Haq'!$D$5:$D$54;'Faega Fitriani Dwi Putri'!$B$5:$B$54,'Faega Fitriani Dwi Putri'!$H$5:$H$54,'Faega Fitriani Dwi Putri'!$C$5:$C$54,'Faega Fitriani Dwi Putri'!$D$5:$D$54;'Fajri Rizki Robbani'!$B$5:$B$54,'Fajri Rizki Robbani'!$H$5:$H$54,'Fajri Rizki Robbani'!$C$5:$C$54,'Fajri Rizki Robbani'!$D$5:$D$54;'Fakhri Safrudin Sopandi'!$B$5:$B$54,'Fakhri Safrudin Sopandi'!$H$5:$H$54,'Fakhri Safrudin Sopandi'!$C$5:$C$54,'Fakhri Safrudin Sopandi'!$D$5:$D$54;'Moh. Rizky Nugraha'!$B$5:$B$54,'Moh. Rizky Nugraha'!$H$5:$H$54,'Moh. Rizky Nugraha'!$C$5:$C$54,'Moh. Rizky Nugraha'!$D$5:$D$54;'Muhammad Akbar Putra'!$B$5:$B$54,'Muhammad Akbar Putra'!$H$5:$H$54,'Muhammad Akbar Putra'!$C$5:$C$54,'Muhammad Akbar Putra'!$D$5:$D$54;'Muhammad Hafidz Ramadhan'!$B$5:$B$54,'Muhammad Hafidz Ramadhan'!$H$5:$H$54,'Muhammad Hafidz Ramadhan'!$C$5:$C$54,'Muhammad Hafidz Ramadhan'!$D$5:$D$54;'Muhammad Lutfhi Mubarrok'!$B$5:$B$54,'Muhammad Lutfhi Mubarrok'!$H$5:$H$54,'Muhammad Lutfhi Mubarrok'!$C$5:$C$54,'Muhammad Lutfhi Mubarrok'!$D$5:$D$54;'Muhammad Nadhira Shafar'!$B$5:$B$54,'Muhammad Nadhira Shafar'!$H$5:$H$54,'Muhammad Nadhira Shafar'!$C$5:$C$54,'Muhammad Nadhira Shafar'!$D$5:$D$54;'Muhammad Rafi Fakhrul Aiman'!$B$5:$B$54,'Muhammad Rafi Fakhrul Aiman'!$H$5:$H$54,'Muhammad Rafi Fakhrul Aiman'!$C$5:$C$54,'Muhammad Rafi Fakhrul Aiman'!$D$5:$D$54;'Muhammad Reyvin Aryaguna'!$B$5:$B$54,'Muhammad Reyvin Aryaguna'!$H$5:$H$54,'Muhammad Reyvin Aryaguna'!$C$5:$C$54,'Muhammad Reyvin Aryaguna'!$D$5:$D$54;'Nadzar Akbar Subagja'!$B$5:$B$54,'Nadzar Akbar Subagja'!$H$5:$H$54,'Nadzar Akbar Subagja'!$C$5:$C$54,'Nadzar Akbar Subagja'!$D$5:$D$54;'Najwan Muhammad Ghalib'!$B$5:$B$54,'Najwan Muhammad Ghalib'!$H$5:$H$54,'Najwan Muhammad Ghalib'!$C$5:$C$54,'Najwan Muhammad Ghalib'!$D$5:$D$54;'Nia Rizkiyanti'!$B$5:$B$54,'Nia Rizkiyanti'!$H$5:$H$54,'Nia Rizkiyanti'!$C$5:$C$54,'Nia Rizkiyanti'!$D$5:$D$54;'Nur Ainillah Nabawi'!$B$5:$B$54,'Nur Ainillah Nabawi'!$H$5:$H$54,'Nur Ainillah Nabawi'!$C$5:$C$54,'Nur Ainillah Nabawi'!$D$5:$D$54;'Nurul Khairunnissa'!$B$5:$B$54,'Nurul Khairunnissa'!$H$5:$H$54,'Nurul Khairunnissa'!$C$5:$C$54,'Nurul Khairunnissa'!$D$5:$D$54;'Putri Maharani'!$B$5:$B$54,'Putri Maharani'!$H$5:$H$54,'Putri Maharani'!$C$5:$C$54,'Putri Maharani'!$D$5:$D$54;'Rika Kartika'!$B$5:$B$54,'Rika Kartika'!$H$5:$H$54,'Rika Kartika'!$C$5:$C$54,'Rika Kartika'!$D$5:$D$54;'Riva Nur Fathiya Safitri'!$B$5:$B$54,'Riva Nur Fathiya Safitri'!$H$5:$H$54,'Riva Nur Fathiya Safitri'!$C$5:$C$54,'Riva Nur Fathiya Safitri'!$D$5:$D$54;'Shintia Nur Fadillah'!$B$5:$B$54,'Shintia Nur Fadillah'!$H$5:$H$54,'Shintia Nur Fadillah'!$C$5:$C$54,'Shintia Nur Fadillah'!$D$5:$D$54;'Sinta Faoziah'!$B$5:$B$54,'Sinta Faoziah'!$H$5:$H$54,'Sinta Faoziah'!$C$5:$C$54,'Sinta Faoziah'!$D$5:$D$54;'Tiara Anastasya Gumilar'!$B$5:$B$54,'Tiara Anastasya Gumilar'!$H$5:$H$54,'Tiara Anastasya Gumilar'!$C$5:$C$54,'Tiara Anastasya Gumilar'!$D$5:$D$54;'Tiara Maelani'!$B$5:$B$54,'Tiara Maelani'!$H$5:$H$54,'Tiara Maelani'!$C$5:$C$54,'Tiara Maelani'!$D$5:$D$54},{'Aina Triyana Anggraini'!$B$5:$B$54;'Aldi Suryadinata'!$B$5:$B$54;'Asyahlan Hielmy'!$B$5:$B$54;'Asyira Nur Haida'!$B$5:$B$54;'Bayu Rizki Alfarizi'!$B$5:$B$54;'Chandanie Nely Agustin'!$B$5:$B$54;'Dida Zein Risty'!$B$5:$B$54;'Fadil Rijatul Haq'!$B$5:$B$54;'Faega Fitriani Dwi Putri'!$B$5:$B$54;'Fajri Rizki Robbani'!$B$5:$B$54;'Fakhri Safrudin Sopandi'!$B$5:$B$54;'Moh. Rizky Nugraha'!$B$5:$B$54;'Muhammad Akbar Putra'!$B$5:$B$54;'Muhammad Hafidz Ramadhan'!$B$5:$B$54;'Muhammad Lutfhi Mubarrok'!$B$5:$B$54;'Muhammad Nadhira Shafar'!$B$5:$B$54;'Muhammad Rafi Fakhrul Aiman'!$B$5:$B$54;'Muhammad Reyvin Aryaguna'!$B$5:$B$54;'Nadzar Akbar Subagja'!$B$5:$B$54;'Najwan Muhammad Ghalib'!$B$5:$B$54;'Nia Rizkiyanti'!$B$5:$B$54;'Nur Ainillah Nabawi'!$B$5:$B$54;'Nurul Khairunnissa'!$B$5:$B$54;'Putri Maharani'!$B$5:$B$54;'Rika Kartika'!$B$5:$B$54;'Riva Nur Fathiya Safitri'!$B$5:$B$54;'Shintia Nur Fadillah'!$B$5:$B$54;'Sinta Faoziah'!$B$5:$B$54;'Tiara Anastasya Gumilar'!$B$5:$B$54;'Tiara Maelani'!$B$5:$B$54}&lt;&gt;""),1,TRUE),"")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cols>
    <col width="18" customWidth="1" min="1" max="1"/>
    <col width="8" customWidth="1" min="2" max="2"/>
    <col width="20" customWidth="1" min="4" max="4"/>
    <col width="8" customWidth="1" min="5" max="5"/>
    <col width="14" customWidth="1" min="7" max="7"/>
    <col width="8" customWidth="1" min="8" max="8"/>
    <col width="18" customWidth="1" min="10" max="10"/>
    <col width="8" customWidth="1" min="11" max="11"/>
    <col width="34" customWidth="1" min="13" max="13"/>
    <col width="8" customWidth="1" min="14" max="14"/>
    <col width="30" customWidth="1" min="16" max="16"/>
    <col width="8" customWidth="1" min="17" max="17"/>
    <col width="10" customWidth="1" min="18" max="18"/>
    <col width="30" customWidth="1" min="20" max="20"/>
    <col width="8" customWidth="1" min="21" max="21"/>
    <col width="10" customWidth="1" min="22" max="22"/>
  </cols>
  <sheetData>
    <row r="1">
      <c r="A1" s="41" t="inlineStr">
        <is>
          <t>SUMBER DATA DASHBOARD - otomatis dari 30 tab coach, jangan diubah manual</t>
        </is>
      </c>
    </row>
    <row r="3">
      <c r="A3" s="50" t="inlineStr">
        <is>
          <t>Level SSI</t>
        </is>
      </c>
      <c r="B3" s="50" t="inlineStr">
        <is>
          <t>Siswa</t>
        </is>
      </c>
      <c r="D3" s="50" t="inlineStr">
        <is>
          <t>Program/Kelas</t>
        </is>
      </c>
      <c r="E3" s="50" t="inlineStr">
        <is>
          <t>Siswa</t>
        </is>
      </c>
      <c r="G3" s="50" t="inlineStr">
        <is>
          <t>Risiko</t>
        </is>
      </c>
      <c r="H3" s="50" t="inlineStr">
        <is>
          <t>Siswa</t>
        </is>
      </c>
      <c r="J3" s="50" t="inlineStr">
        <is>
          <t>Lokasi (jadwal)</t>
        </is>
      </c>
      <c r="K3" s="50" t="inlineStr">
        <is>
          <t>Sesi</t>
        </is>
      </c>
      <c r="M3" s="50" t="inlineStr">
        <is>
          <t>Kolam (jadwal)</t>
        </is>
      </c>
      <c r="N3" s="50" t="inlineStr">
        <is>
          <t>Sesi</t>
        </is>
      </c>
      <c r="P3" s="50" t="inlineStr">
        <is>
          <t>Coach (semua)</t>
        </is>
      </c>
      <c r="Q3" s="50" t="inlineStr">
        <is>
          <t>Siswa</t>
        </is>
      </c>
      <c r="R3" s="50" t="inlineStr">
        <is>
          <t>skor</t>
        </is>
      </c>
      <c r="T3" s="50" t="inlineStr">
        <is>
          <t>Top 8 Coach</t>
        </is>
      </c>
      <c r="U3" s="50" t="inlineStr">
        <is>
          <t>Siswa</t>
        </is>
      </c>
      <c r="V3" s="50" t="inlineStr">
        <is>
          <t>skor</t>
        </is>
      </c>
    </row>
    <row r="4">
      <c r="A4" s="52" t="inlineStr">
        <is>
          <t>Baby Swim I</t>
        </is>
      </c>
      <c r="B4" s="52">
        <f>COUNTIF('Aina Triyana Anggraini'!$D$5:$D$54,$A4)+COUNTIF('Aldi Suryadinata'!$D$5:$D$54,$A4)+COUNTIF('Asyahlan Hielmy'!$D$5:$D$54,$A4)+COUNTIF('Asyira Nur Haida'!$D$5:$D$54,$A4)+COUNTIF('Bayu Rizki Alfarizi'!$D$5:$D$54,$A4)+COUNTIF('Chandanie Nely Agustin'!$D$5:$D$54,$A4)+COUNTIF('Dida Zein Risty'!$D$5:$D$54,$A4)+COUNTIF('Fadil Rijatul Haq'!$D$5:$D$54,$A4)+COUNTIF('Faega Fitriani Dwi Putri'!$D$5:$D$54,$A4)+COUNTIF('Fajri Rizki Robbani'!$D$5:$D$54,$A4)+COUNTIF('Fakhri Safrudin Sopandi'!$D$5:$D$54,$A4)+COUNTIF('Moh. Rizky Nugraha'!$D$5:$D$54,$A4)+COUNTIF('Muhammad Akbar Putra'!$D$5:$D$54,$A4)+COUNTIF('Muhammad Hafidz Ramadhan'!$D$5:$D$54,$A4)+COUNTIF('Muhammad Lutfhi Mubarrok'!$D$5:$D$54,$A4)+COUNTIF('Muhammad Nadhira Shafar'!$D$5:$D$54,$A4)+COUNTIF('Muhammad Rafi Fakhrul Aiman'!$D$5:$D$54,$A4)+COUNTIF('Muhammad Reyvin Aryaguna'!$D$5:$D$54,$A4)+COUNTIF('Nadzar Akbar Subagja'!$D$5:$D$54,$A4)+COUNTIF('Najwan Muhammad Ghalib'!$D$5:$D$54,$A4)+COUNTIF('Nia Rizkiyanti'!$D$5:$D$54,$A4)+COUNTIF('Nur Ainillah Nabawi'!$D$5:$D$54,$A4)+COUNTIF('Nurul Khairunnissa'!$D$5:$D$54,$A4)+COUNTIF('Putri Maharani'!$D$5:$D$54,$A4)+COUNTIF('Rika Kartika'!$D$5:$D$54,$A4)+COUNTIF('Riva Nur Fathiya Safitri'!$D$5:$D$54,$A4)+COUNTIF('Shintia Nur Fadillah'!$D$5:$D$54,$A4)+COUNTIF('Sinta Faoziah'!$D$5:$D$54,$A4)+COUNTIF('Tiara Anastasya Gumilar'!$D$5:$D$54,$A4)+COUNTIF('Tiara Maelani'!$D$5:$D$54,$A4)</f>
        <v/>
      </c>
      <c r="D4" s="52" t="inlineStr">
        <is>
          <t>Private Class</t>
        </is>
      </c>
      <c r="E4" s="52">
        <f>COUNTIF('Aina Triyana Anggraini'!$C$5:$C$54,$D4)+COUNTIF('Aldi Suryadinata'!$C$5:$C$54,$D4)+COUNTIF('Asyahlan Hielmy'!$C$5:$C$54,$D4)+COUNTIF('Asyira Nur Haida'!$C$5:$C$54,$D4)+COUNTIF('Bayu Rizki Alfarizi'!$C$5:$C$54,$D4)+COUNTIF('Chandanie Nely Agustin'!$C$5:$C$54,$D4)+COUNTIF('Dida Zein Risty'!$C$5:$C$54,$D4)+COUNTIF('Fadil Rijatul Haq'!$C$5:$C$54,$D4)+COUNTIF('Faega Fitriani Dwi Putri'!$C$5:$C$54,$D4)+COUNTIF('Fajri Rizki Robbani'!$C$5:$C$54,$D4)+COUNTIF('Fakhri Safrudin Sopandi'!$C$5:$C$54,$D4)+COUNTIF('Moh. Rizky Nugraha'!$C$5:$C$54,$D4)+COUNTIF('Muhammad Akbar Putra'!$C$5:$C$54,$D4)+COUNTIF('Muhammad Hafidz Ramadhan'!$C$5:$C$54,$D4)+COUNTIF('Muhammad Lutfhi Mubarrok'!$C$5:$C$54,$D4)+COUNTIF('Muhammad Nadhira Shafar'!$C$5:$C$54,$D4)+COUNTIF('Muhammad Rafi Fakhrul Aiman'!$C$5:$C$54,$D4)+COUNTIF('Muhammad Reyvin Aryaguna'!$C$5:$C$54,$D4)+COUNTIF('Nadzar Akbar Subagja'!$C$5:$C$54,$D4)+COUNTIF('Najwan Muhammad Ghalib'!$C$5:$C$54,$D4)+COUNTIF('Nia Rizkiyanti'!$C$5:$C$54,$D4)+COUNTIF('Nur Ainillah Nabawi'!$C$5:$C$54,$D4)+COUNTIF('Nurul Khairunnissa'!$C$5:$C$54,$D4)+COUNTIF('Putri Maharani'!$C$5:$C$54,$D4)+COUNTIF('Rika Kartika'!$C$5:$C$54,$D4)+COUNTIF('Riva Nur Fathiya Safitri'!$C$5:$C$54,$D4)+COUNTIF('Shintia Nur Fadillah'!$C$5:$C$54,$D4)+COUNTIF('Sinta Faoziah'!$C$5:$C$54,$D4)+COUNTIF('Tiara Anastasya Gumilar'!$C$5:$C$54,$D4)+COUNTIF('Tiara Maelani'!$C$5:$C$54,$D4)</f>
        <v/>
      </c>
      <c r="G4" s="52" t="inlineStr">
        <is>
          <t>Rendah</t>
        </is>
      </c>
      <c r="H4" s="52">
        <f>COUNTIF('Aina Triyana Anggraini'!$F$5:$F$54,$G4)+COUNTIF('Aldi Suryadinata'!$F$5:$F$54,$G4)+COUNTIF('Asyahlan Hielmy'!$F$5:$F$54,$G4)+COUNTIF('Asyira Nur Haida'!$F$5:$F$54,$G4)+COUNTIF('Bayu Rizki Alfarizi'!$F$5:$F$54,$G4)+COUNTIF('Chandanie Nely Agustin'!$F$5:$F$54,$G4)+COUNTIF('Dida Zein Risty'!$F$5:$F$54,$G4)+COUNTIF('Fadil Rijatul Haq'!$F$5:$F$54,$G4)+COUNTIF('Faega Fitriani Dwi Putri'!$F$5:$F$54,$G4)+COUNTIF('Fajri Rizki Robbani'!$F$5:$F$54,$G4)+COUNTIF('Fakhri Safrudin Sopandi'!$F$5:$F$54,$G4)+COUNTIF('Moh. Rizky Nugraha'!$F$5:$F$54,$G4)+COUNTIF('Muhammad Akbar Putra'!$F$5:$F$54,$G4)+COUNTIF('Muhammad Hafidz Ramadhan'!$F$5:$F$54,$G4)+COUNTIF('Muhammad Lutfhi Mubarrok'!$F$5:$F$54,$G4)+COUNTIF('Muhammad Nadhira Shafar'!$F$5:$F$54,$G4)+COUNTIF('Muhammad Rafi Fakhrul Aiman'!$F$5:$F$54,$G4)+COUNTIF('Muhammad Reyvin Aryaguna'!$F$5:$F$54,$G4)+COUNTIF('Nadzar Akbar Subagja'!$F$5:$F$54,$G4)+COUNTIF('Najwan Muhammad Ghalib'!$F$5:$F$54,$G4)+COUNTIF('Nia Rizkiyanti'!$F$5:$F$54,$G4)+COUNTIF('Nur Ainillah Nabawi'!$F$5:$F$54,$G4)+COUNTIF('Nurul Khairunnissa'!$F$5:$F$54,$G4)+COUNTIF('Putri Maharani'!$F$5:$F$54,$G4)+COUNTIF('Rika Kartika'!$F$5:$F$54,$G4)+COUNTIF('Riva Nur Fathiya Safitri'!$F$5:$F$54,$G4)+COUNTIF('Shintia Nur Fadillah'!$F$5:$F$54,$G4)+COUNTIF('Sinta Faoziah'!$F$5:$F$54,$G4)+COUNTIF('Tiara Anastasya Gumilar'!$F$5:$F$54,$G4)+COUNTIF('Tiara Maelani'!$F$5:$F$54,$G4)</f>
        <v/>
      </c>
      <c r="J4" s="52" t="inlineStr">
        <is>
          <t>Bandung Kota</t>
        </is>
      </c>
      <c r="K4" s="52">
        <f>COUNTIF('Aina Triyana Anggraini'!$M$6:$M$50,$J4)+COUNTIF('Aldi Suryadinata'!$M$6:$M$50,$J4)+COUNTIF('Asyahlan Hielmy'!$M$6:$M$50,$J4)+COUNTIF('Asyira Nur Haida'!$M$6:$M$50,$J4)+COUNTIF('Bayu Rizki Alfarizi'!$M$6:$M$50,$J4)+COUNTIF('Chandanie Nely Agustin'!$M$6:$M$50,$J4)+COUNTIF('Dida Zein Risty'!$M$6:$M$50,$J4)+COUNTIF('Fadil Rijatul Haq'!$M$6:$M$50,$J4)+COUNTIF('Faega Fitriani Dwi Putri'!$M$6:$M$50,$J4)+COUNTIF('Fajri Rizki Robbani'!$M$6:$M$50,$J4)+COUNTIF('Fakhri Safrudin Sopandi'!$M$6:$M$50,$J4)+COUNTIF('Moh. Rizky Nugraha'!$M$6:$M$50,$J4)+COUNTIF('Muhammad Akbar Putra'!$M$6:$M$50,$J4)+COUNTIF('Muhammad Hafidz Ramadhan'!$M$6:$M$50,$J4)+COUNTIF('Muhammad Lutfhi Mubarrok'!$M$6:$M$50,$J4)+COUNTIF('Muhammad Nadhira Shafar'!$M$6:$M$50,$J4)+COUNTIF('Muhammad Rafi Fakhrul Aiman'!$M$6:$M$50,$J4)+COUNTIF('Muhammad Reyvin Aryaguna'!$M$6:$M$50,$J4)+COUNTIF('Nadzar Akbar Subagja'!$M$6:$M$50,$J4)+COUNTIF('Najwan Muhammad Ghalib'!$M$6:$M$50,$J4)+COUNTIF('Nia Rizkiyanti'!$M$6:$M$50,$J4)+COUNTIF('Nur Ainillah Nabawi'!$M$6:$M$50,$J4)+COUNTIF('Nurul Khairunnissa'!$M$6:$M$50,$J4)+COUNTIF('Putri Maharani'!$M$6:$M$50,$J4)+COUNTIF('Rika Kartika'!$M$6:$M$50,$J4)+COUNTIF('Riva Nur Fathiya Safitri'!$M$6:$M$50,$J4)+COUNTIF('Shintia Nur Fadillah'!$M$6:$M$50,$J4)+COUNTIF('Sinta Faoziah'!$M$6:$M$50,$J4)+COUNTIF('Tiara Anastasya Gumilar'!$M$6:$M$50,$J4)+COUNTIF('Tiara Maelani'!$M$6:$M$50,$J4)</f>
        <v/>
      </c>
      <c r="M4" s="52" t="inlineStr">
        <is>
          <t>BSD Bandung (Riung Mekar)</t>
        </is>
      </c>
      <c r="N4" s="52">
        <f>COUNTIF('Aina Triyana Anggraini'!$N$6:$N$50,$M4)+COUNTIF('Aldi Suryadinata'!$N$6:$N$50,$M4)+COUNTIF('Asyahlan Hielmy'!$N$6:$N$50,$M4)+COUNTIF('Asyira Nur Haida'!$N$6:$N$50,$M4)+COUNTIF('Bayu Rizki Alfarizi'!$N$6:$N$50,$M4)+COUNTIF('Chandanie Nely Agustin'!$N$6:$N$50,$M4)+COUNTIF('Dida Zein Risty'!$N$6:$N$50,$M4)+COUNTIF('Fadil Rijatul Haq'!$N$6:$N$50,$M4)+COUNTIF('Faega Fitriani Dwi Putri'!$N$6:$N$50,$M4)+COUNTIF('Fajri Rizki Robbani'!$N$6:$N$50,$M4)+COUNTIF('Fakhri Safrudin Sopandi'!$N$6:$N$50,$M4)+COUNTIF('Moh. Rizky Nugraha'!$N$6:$N$50,$M4)+COUNTIF('Muhammad Akbar Putra'!$N$6:$N$50,$M4)+COUNTIF('Muhammad Hafidz Ramadhan'!$N$6:$N$50,$M4)+COUNTIF('Muhammad Lutfhi Mubarrok'!$N$6:$N$50,$M4)+COUNTIF('Muhammad Nadhira Shafar'!$N$6:$N$50,$M4)+COUNTIF('Muhammad Rafi Fakhrul Aiman'!$N$6:$N$50,$M4)+COUNTIF('Muhammad Reyvin Aryaguna'!$N$6:$N$50,$M4)+COUNTIF('Nadzar Akbar Subagja'!$N$6:$N$50,$M4)+COUNTIF('Najwan Muhammad Ghalib'!$N$6:$N$50,$M4)+COUNTIF('Nia Rizkiyanti'!$N$6:$N$50,$M4)+COUNTIF('Nur Ainillah Nabawi'!$N$6:$N$50,$M4)+COUNTIF('Nurul Khairunnissa'!$N$6:$N$50,$M4)+COUNTIF('Putri Maharani'!$N$6:$N$50,$M4)+COUNTIF('Rika Kartika'!$N$6:$N$50,$M4)+COUNTIF('Riva Nur Fathiya Safitri'!$N$6:$N$50,$M4)+COUNTIF('Shintia Nur Fadillah'!$N$6:$N$50,$M4)+COUNTIF('Sinta Faoziah'!$N$6:$N$50,$M4)+COUNTIF('Tiara Anastasya Gumilar'!$N$6:$N$50,$M4)+COUNTIF('Tiara Maelani'!$N$6:$N$50,$M4)</f>
        <v/>
      </c>
      <c r="P4" s="52" t="inlineStr">
        <is>
          <t>Aina Triyana Anggraini</t>
        </is>
      </c>
      <c r="Q4" s="52">
        <f>COUNTA('Aina Triyana Anggraini'!$B$5:$B$54)</f>
        <v/>
      </c>
      <c r="R4" s="21">
        <f>Q4+ROW()/100000</f>
        <v/>
      </c>
      <c r="T4" s="52">
        <f>INDEX($P$4:$P$33,MATCH(V4,$R$4:$R$33,0))</f>
        <v/>
      </c>
      <c r="U4" s="52">
        <f>INDEX($Q$4:$Q$33,MATCH(V4,$R$4:$R$33,0))</f>
        <v/>
      </c>
      <c r="V4" s="21">
        <f>LARGE($R$4:$R$33,1)</f>
        <v/>
      </c>
    </row>
    <row r="5">
      <c r="A5" s="52" t="inlineStr">
        <is>
          <t>Baby Swim II</t>
        </is>
      </c>
      <c r="B5" s="52">
        <f>COUNTIF('Aina Triyana Anggraini'!$D$5:$D$54,$A5)+COUNTIF('Aldi Suryadinata'!$D$5:$D$54,$A5)+COUNTIF('Asyahlan Hielmy'!$D$5:$D$54,$A5)+COUNTIF('Asyira Nur Haida'!$D$5:$D$54,$A5)+COUNTIF('Bayu Rizki Alfarizi'!$D$5:$D$54,$A5)+COUNTIF('Chandanie Nely Agustin'!$D$5:$D$54,$A5)+COUNTIF('Dida Zein Risty'!$D$5:$D$54,$A5)+COUNTIF('Fadil Rijatul Haq'!$D$5:$D$54,$A5)+COUNTIF('Faega Fitriani Dwi Putri'!$D$5:$D$54,$A5)+COUNTIF('Fajri Rizki Robbani'!$D$5:$D$54,$A5)+COUNTIF('Fakhri Safrudin Sopandi'!$D$5:$D$54,$A5)+COUNTIF('Moh. Rizky Nugraha'!$D$5:$D$54,$A5)+COUNTIF('Muhammad Akbar Putra'!$D$5:$D$54,$A5)+COUNTIF('Muhammad Hafidz Ramadhan'!$D$5:$D$54,$A5)+COUNTIF('Muhammad Lutfhi Mubarrok'!$D$5:$D$54,$A5)+COUNTIF('Muhammad Nadhira Shafar'!$D$5:$D$54,$A5)+COUNTIF('Muhammad Rafi Fakhrul Aiman'!$D$5:$D$54,$A5)+COUNTIF('Muhammad Reyvin Aryaguna'!$D$5:$D$54,$A5)+COUNTIF('Nadzar Akbar Subagja'!$D$5:$D$54,$A5)+COUNTIF('Najwan Muhammad Ghalib'!$D$5:$D$54,$A5)+COUNTIF('Nia Rizkiyanti'!$D$5:$D$54,$A5)+COUNTIF('Nur Ainillah Nabawi'!$D$5:$D$54,$A5)+COUNTIF('Nurul Khairunnissa'!$D$5:$D$54,$A5)+COUNTIF('Putri Maharani'!$D$5:$D$54,$A5)+COUNTIF('Rika Kartika'!$D$5:$D$54,$A5)+COUNTIF('Riva Nur Fathiya Safitri'!$D$5:$D$54,$A5)+COUNTIF('Shintia Nur Fadillah'!$D$5:$D$54,$A5)+COUNTIF('Sinta Faoziah'!$D$5:$D$54,$A5)+COUNTIF('Tiara Anastasya Gumilar'!$D$5:$D$54,$A5)+COUNTIF('Tiara Maelani'!$D$5:$D$54,$A5)</f>
        <v/>
      </c>
      <c r="D5" s="52" t="inlineStr">
        <is>
          <t>Couple Class</t>
        </is>
      </c>
      <c r="E5" s="52">
        <f>COUNTIF('Aina Triyana Anggraini'!$C$5:$C$54,$D5)+COUNTIF('Aldi Suryadinata'!$C$5:$C$54,$D5)+COUNTIF('Asyahlan Hielmy'!$C$5:$C$54,$D5)+COUNTIF('Asyira Nur Haida'!$C$5:$C$54,$D5)+COUNTIF('Bayu Rizki Alfarizi'!$C$5:$C$54,$D5)+COUNTIF('Chandanie Nely Agustin'!$C$5:$C$54,$D5)+COUNTIF('Dida Zein Risty'!$C$5:$C$54,$D5)+COUNTIF('Fadil Rijatul Haq'!$C$5:$C$54,$D5)+COUNTIF('Faega Fitriani Dwi Putri'!$C$5:$C$54,$D5)+COUNTIF('Fajri Rizki Robbani'!$C$5:$C$54,$D5)+COUNTIF('Fakhri Safrudin Sopandi'!$C$5:$C$54,$D5)+COUNTIF('Moh. Rizky Nugraha'!$C$5:$C$54,$D5)+COUNTIF('Muhammad Akbar Putra'!$C$5:$C$54,$D5)+COUNTIF('Muhammad Hafidz Ramadhan'!$C$5:$C$54,$D5)+COUNTIF('Muhammad Lutfhi Mubarrok'!$C$5:$C$54,$D5)+COUNTIF('Muhammad Nadhira Shafar'!$C$5:$C$54,$D5)+COUNTIF('Muhammad Rafi Fakhrul Aiman'!$C$5:$C$54,$D5)+COUNTIF('Muhammad Reyvin Aryaguna'!$C$5:$C$54,$D5)+COUNTIF('Nadzar Akbar Subagja'!$C$5:$C$54,$D5)+COUNTIF('Najwan Muhammad Ghalib'!$C$5:$C$54,$D5)+COUNTIF('Nia Rizkiyanti'!$C$5:$C$54,$D5)+COUNTIF('Nur Ainillah Nabawi'!$C$5:$C$54,$D5)+COUNTIF('Nurul Khairunnissa'!$C$5:$C$54,$D5)+COUNTIF('Putri Maharani'!$C$5:$C$54,$D5)+COUNTIF('Rika Kartika'!$C$5:$C$54,$D5)+COUNTIF('Riva Nur Fathiya Safitri'!$C$5:$C$54,$D5)+COUNTIF('Shintia Nur Fadillah'!$C$5:$C$54,$D5)+COUNTIF('Sinta Faoziah'!$C$5:$C$54,$D5)+COUNTIF('Tiara Anastasya Gumilar'!$C$5:$C$54,$D5)+COUNTIF('Tiara Maelani'!$C$5:$C$54,$D5)</f>
        <v/>
      </c>
      <c r="G5" s="52" t="inlineStr">
        <is>
          <t>Sedang</t>
        </is>
      </c>
      <c r="H5" s="52">
        <f>COUNTIF('Aina Triyana Anggraini'!$F$5:$F$54,$G5)+COUNTIF('Aldi Suryadinata'!$F$5:$F$54,$G5)+COUNTIF('Asyahlan Hielmy'!$F$5:$F$54,$G5)+COUNTIF('Asyira Nur Haida'!$F$5:$F$54,$G5)+COUNTIF('Bayu Rizki Alfarizi'!$F$5:$F$54,$G5)+COUNTIF('Chandanie Nely Agustin'!$F$5:$F$54,$G5)+COUNTIF('Dida Zein Risty'!$F$5:$F$54,$G5)+COUNTIF('Fadil Rijatul Haq'!$F$5:$F$54,$G5)+COUNTIF('Faega Fitriani Dwi Putri'!$F$5:$F$54,$G5)+COUNTIF('Fajri Rizki Robbani'!$F$5:$F$54,$G5)+COUNTIF('Fakhri Safrudin Sopandi'!$F$5:$F$54,$G5)+COUNTIF('Moh. Rizky Nugraha'!$F$5:$F$54,$G5)+COUNTIF('Muhammad Akbar Putra'!$F$5:$F$54,$G5)+COUNTIF('Muhammad Hafidz Ramadhan'!$F$5:$F$54,$G5)+COUNTIF('Muhammad Lutfhi Mubarrok'!$F$5:$F$54,$G5)+COUNTIF('Muhammad Nadhira Shafar'!$F$5:$F$54,$G5)+COUNTIF('Muhammad Rafi Fakhrul Aiman'!$F$5:$F$54,$G5)+COUNTIF('Muhammad Reyvin Aryaguna'!$F$5:$F$54,$G5)+COUNTIF('Nadzar Akbar Subagja'!$F$5:$F$54,$G5)+COUNTIF('Najwan Muhammad Ghalib'!$F$5:$F$54,$G5)+COUNTIF('Nia Rizkiyanti'!$F$5:$F$54,$G5)+COUNTIF('Nur Ainillah Nabawi'!$F$5:$F$54,$G5)+COUNTIF('Nurul Khairunnissa'!$F$5:$F$54,$G5)+COUNTIF('Putri Maharani'!$F$5:$F$54,$G5)+COUNTIF('Rika Kartika'!$F$5:$F$54,$G5)+COUNTIF('Riva Nur Fathiya Safitri'!$F$5:$F$54,$G5)+COUNTIF('Shintia Nur Fadillah'!$F$5:$F$54,$G5)+COUNTIF('Sinta Faoziah'!$F$5:$F$54,$G5)+COUNTIF('Tiara Anastasya Gumilar'!$F$5:$F$54,$G5)+COUNTIF('Tiara Maelani'!$F$5:$F$54,$G5)</f>
        <v/>
      </c>
      <c r="J5" s="52" t="inlineStr">
        <is>
          <t>Bandung Utara</t>
        </is>
      </c>
      <c r="K5" s="52">
        <f>COUNTIF('Aina Triyana Anggraini'!$M$6:$M$50,$J5)+COUNTIF('Aldi Suryadinata'!$M$6:$M$50,$J5)+COUNTIF('Asyahlan Hielmy'!$M$6:$M$50,$J5)+COUNTIF('Asyira Nur Haida'!$M$6:$M$50,$J5)+COUNTIF('Bayu Rizki Alfarizi'!$M$6:$M$50,$J5)+COUNTIF('Chandanie Nely Agustin'!$M$6:$M$50,$J5)+COUNTIF('Dida Zein Risty'!$M$6:$M$50,$J5)+COUNTIF('Fadil Rijatul Haq'!$M$6:$M$50,$J5)+COUNTIF('Faega Fitriani Dwi Putri'!$M$6:$M$50,$J5)+COUNTIF('Fajri Rizki Robbani'!$M$6:$M$50,$J5)+COUNTIF('Fakhri Safrudin Sopandi'!$M$6:$M$50,$J5)+COUNTIF('Moh. Rizky Nugraha'!$M$6:$M$50,$J5)+COUNTIF('Muhammad Akbar Putra'!$M$6:$M$50,$J5)+COUNTIF('Muhammad Hafidz Ramadhan'!$M$6:$M$50,$J5)+COUNTIF('Muhammad Lutfhi Mubarrok'!$M$6:$M$50,$J5)+COUNTIF('Muhammad Nadhira Shafar'!$M$6:$M$50,$J5)+COUNTIF('Muhammad Rafi Fakhrul Aiman'!$M$6:$M$50,$J5)+COUNTIF('Muhammad Reyvin Aryaguna'!$M$6:$M$50,$J5)+COUNTIF('Nadzar Akbar Subagja'!$M$6:$M$50,$J5)+COUNTIF('Najwan Muhammad Ghalib'!$M$6:$M$50,$J5)+COUNTIF('Nia Rizkiyanti'!$M$6:$M$50,$J5)+COUNTIF('Nur Ainillah Nabawi'!$M$6:$M$50,$J5)+COUNTIF('Nurul Khairunnissa'!$M$6:$M$50,$J5)+COUNTIF('Putri Maharani'!$M$6:$M$50,$J5)+COUNTIF('Rika Kartika'!$M$6:$M$50,$J5)+COUNTIF('Riva Nur Fathiya Safitri'!$M$6:$M$50,$J5)+COUNTIF('Shintia Nur Fadillah'!$M$6:$M$50,$J5)+COUNTIF('Sinta Faoziah'!$M$6:$M$50,$J5)+COUNTIF('Tiara Anastasya Gumilar'!$M$6:$M$50,$J5)+COUNTIF('Tiara Maelani'!$M$6:$M$50,$J5)</f>
        <v/>
      </c>
      <c r="M5" s="52" t="inlineStr">
        <is>
          <t>Calma Kitchen &amp; Pool</t>
        </is>
      </c>
      <c r="N5" s="52">
        <f>COUNTIF('Aina Triyana Anggraini'!$N$6:$N$50,$M5)+COUNTIF('Aldi Suryadinata'!$N$6:$N$50,$M5)+COUNTIF('Asyahlan Hielmy'!$N$6:$N$50,$M5)+COUNTIF('Asyira Nur Haida'!$N$6:$N$50,$M5)+COUNTIF('Bayu Rizki Alfarizi'!$N$6:$N$50,$M5)+COUNTIF('Chandanie Nely Agustin'!$N$6:$N$50,$M5)+COUNTIF('Dida Zein Risty'!$N$6:$N$50,$M5)+COUNTIF('Fadil Rijatul Haq'!$N$6:$N$50,$M5)+COUNTIF('Faega Fitriani Dwi Putri'!$N$6:$N$50,$M5)+COUNTIF('Fajri Rizki Robbani'!$N$6:$N$50,$M5)+COUNTIF('Fakhri Safrudin Sopandi'!$N$6:$N$50,$M5)+COUNTIF('Moh. Rizky Nugraha'!$N$6:$N$50,$M5)+COUNTIF('Muhammad Akbar Putra'!$N$6:$N$50,$M5)+COUNTIF('Muhammad Hafidz Ramadhan'!$N$6:$N$50,$M5)+COUNTIF('Muhammad Lutfhi Mubarrok'!$N$6:$N$50,$M5)+COUNTIF('Muhammad Nadhira Shafar'!$N$6:$N$50,$M5)+COUNTIF('Muhammad Rafi Fakhrul Aiman'!$N$6:$N$50,$M5)+COUNTIF('Muhammad Reyvin Aryaguna'!$N$6:$N$50,$M5)+COUNTIF('Nadzar Akbar Subagja'!$N$6:$N$50,$M5)+COUNTIF('Najwan Muhammad Ghalib'!$N$6:$N$50,$M5)+COUNTIF('Nia Rizkiyanti'!$N$6:$N$50,$M5)+COUNTIF('Nur Ainillah Nabawi'!$N$6:$N$50,$M5)+COUNTIF('Nurul Khairunnissa'!$N$6:$N$50,$M5)+COUNTIF('Putri Maharani'!$N$6:$N$50,$M5)+COUNTIF('Rika Kartika'!$N$6:$N$50,$M5)+COUNTIF('Riva Nur Fathiya Safitri'!$N$6:$N$50,$M5)+COUNTIF('Shintia Nur Fadillah'!$N$6:$N$50,$M5)+COUNTIF('Sinta Faoziah'!$N$6:$N$50,$M5)+COUNTIF('Tiara Anastasya Gumilar'!$N$6:$N$50,$M5)+COUNTIF('Tiara Maelani'!$N$6:$N$50,$M5)</f>
        <v/>
      </c>
      <c r="P5" s="52" t="inlineStr">
        <is>
          <t>Aldi Suryadinata</t>
        </is>
      </c>
      <c r="Q5" s="52">
        <f>COUNTA('Aldi Suryadinata'!$B$5:$B$54)</f>
        <v/>
      </c>
      <c r="R5" s="21">
        <f>Q5+ROW()/100000</f>
        <v/>
      </c>
      <c r="T5" s="52">
        <f>INDEX($P$4:$P$33,MATCH(V5,$R$4:$R$33,0))</f>
        <v/>
      </c>
      <c r="U5" s="52">
        <f>INDEX($Q$4:$Q$33,MATCH(V5,$R$4:$R$33,0))</f>
        <v/>
      </c>
      <c r="V5" s="21">
        <f>LARGE($R$4:$R$33,2)</f>
        <v/>
      </c>
    </row>
    <row r="6">
      <c r="A6" s="52" t="inlineStr">
        <is>
          <t>Aquatike I</t>
        </is>
      </c>
      <c r="B6" s="52">
        <f>COUNTIF('Aina Triyana Anggraini'!$D$5:$D$54,$A6)+COUNTIF('Aldi Suryadinata'!$D$5:$D$54,$A6)+COUNTIF('Asyahlan Hielmy'!$D$5:$D$54,$A6)+COUNTIF('Asyira Nur Haida'!$D$5:$D$54,$A6)+COUNTIF('Bayu Rizki Alfarizi'!$D$5:$D$54,$A6)+COUNTIF('Chandanie Nely Agustin'!$D$5:$D$54,$A6)+COUNTIF('Dida Zein Risty'!$D$5:$D$54,$A6)+COUNTIF('Fadil Rijatul Haq'!$D$5:$D$54,$A6)+COUNTIF('Faega Fitriani Dwi Putri'!$D$5:$D$54,$A6)+COUNTIF('Fajri Rizki Robbani'!$D$5:$D$54,$A6)+COUNTIF('Fakhri Safrudin Sopandi'!$D$5:$D$54,$A6)+COUNTIF('Moh. Rizky Nugraha'!$D$5:$D$54,$A6)+COUNTIF('Muhammad Akbar Putra'!$D$5:$D$54,$A6)+COUNTIF('Muhammad Hafidz Ramadhan'!$D$5:$D$54,$A6)+COUNTIF('Muhammad Lutfhi Mubarrok'!$D$5:$D$54,$A6)+COUNTIF('Muhammad Nadhira Shafar'!$D$5:$D$54,$A6)+COUNTIF('Muhammad Rafi Fakhrul Aiman'!$D$5:$D$54,$A6)+COUNTIF('Muhammad Reyvin Aryaguna'!$D$5:$D$54,$A6)+COUNTIF('Nadzar Akbar Subagja'!$D$5:$D$54,$A6)+COUNTIF('Najwan Muhammad Ghalib'!$D$5:$D$54,$A6)+COUNTIF('Nia Rizkiyanti'!$D$5:$D$54,$A6)+COUNTIF('Nur Ainillah Nabawi'!$D$5:$D$54,$A6)+COUNTIF('Nurul Khairunnissa'!$D$5:$D$54,$A6)+COUNTIF('Putri Maharani'!$D$5:$D$54,$A6)+COUNTIF('Rika Kartika'!$D$5:$D$54,$A6)+COUNTIF('Riva Nur Fathiya Safitri'!$D$5:$D$54,$A6)+COUNTIF('Shintia Nur Fadillah'!$D$5:$D$54,$A6)+COUNTIF('Sinta Faoziah'!$D$5:$D$54,$A6)+COUNTIF('Tiara Anastasya Gumilar'!$D$5:$D$54,$A6)+COUNTIF('Tiara Maelani'!$D$5:$D$54,$A6)</f>
        <v/>
      </c>
      <c r="D6" s="52" t="inlineStr">
        <is>
          <t>Group Class</t>
        </is>
      </c>
      <c r="E6" s="52">
        <f>COUNTIF('Aina Triyana Anggraini'!$C$5:$C$54,$D6)+COUNTIF('Aldi Suryadinata'!$C$5:$C$54,$D6)+COUNTIF('Asyahlan Hielmy'!$C$5:$C$54,$D6)+COUNTIF('Asyira Nur Haida'!$C$5:$C$54,$D6)+COUNTIF('Bayu Rizki Alfarizi'!$C$5:$C$54,$D6)+COUNTIF('Chandanie Nely Agustin'!$C$5:$C$54,$D6)+COUNTIF('Dida Zein Risty'!$C$5:$C$54,$D6)+COUNTIF('Fadil Rijatul Haq'!$C$5:$C$54,$D6)+COUNTIF('Faega Fitriani Dwi Putri'!$C$5:$C$54,$D6)+COUNTIF('Fajri Rizki Robbani'!$C$5:$C$54,$D6)+COUNTIF('Fakhri Safrudin Sopandi'!$C$5:$C$54,$D6)+COUNTIF('Moh. Rizky Nugraha'!$C$5:$C$54,$D6)+COUNTIF('Muhammad Akbar Putra'!$C$5:$C$54,$D6)+COUNTIF('Muhammad Hafidz Ramadhan'!$C$5:$C$54,$D6)+COUNTIF('Muhammad Lutfhi Mubarrok'!$C$5:$C$54,$D6)+COUNTIF('Muhammad Nadhira Shafar'!$C$5:$C$54,$D6)+COUNTIF('Muhammad Rafi Fakhrul Aiman'!$C$5:$C$54,$D6)+COUNTIF('Muhammad Reyvin Aryaguna'!$C$5:$C$54,$D6)+COUNTIF('Nadzar Akbar Subagja'!$C$5:$C$54,$D6)+COUNTIF('Najwan Muhammad Ghalib'!$C$5:$C$54,$D6)+COUNTIF('Nia Rizkiyanti'!$C$5:$C$54,$D6)+COUNTIF('Nur Ainillah Nabawi'!$C$5:$C$54,$D6)+COUNTIF('Nurul Khairunnissa'!$C$5:$C$54,$D6)+COUNTIF('Putri Maharani'!$C$5:$C$54,$D6)+COUNTIF('Rika Kartika'!$C$5:$C$54,$D6)+COUNTIF('Riva Nur Fathiya Safitri'!$C$5:$C$54,$D6)+COUNTIF('Shintia Nur Fadillah'!$C$5:$C$54,$D6)+COUNTIF('Sinta Faoziah'!$C$5:$C$54,$D6)+COUNTIF('Tiara Anastasya Gumilar'!$C$5:$C$54,$D6)+COUNTIF('Tiara Maelani'!$C$5:$C$54,$D6)</f>
        <v/>
      </c>
      <c r="G6" s="52" t="inlineStr">
        <is>
          <t>Tinggi</t>
        </is>
      </c>
      <c r="H6" s="52">
        <f>COUNTIF('Aina Triyana Anggraini'!$F$5:$F$54,$G6)+COUNTIF('Aldi Suryadinata'!$F$5:$F$54,$G6)+COUNTIF('Asyahlan Hielmy'!$F$5:$F$54,$G6)+COUNTIF('Asyira Nur Haida'!$F$5:$F$54,$G6)+COUNTIF('Bayu Rizki Alfarizi'!$F$5:$F$54,$G6)+COUNTIF('Chandanie Nely Agustin'!$F$5:$F$54,$G6)+COUNTIF('Dida Zein Risty'!$F$5:$F$54,$G6)+COUNTIF('Fadil Rijatul Haq'!$F$5:$F$54,$G6)+COUNTIF('Faega Fitriani Dwi Putri'!$F$5:$F$54,$G6)+COUNTIF('Fajri Rizki Robbani'!$F$5:$F$54,$G6)+COUNTIF('Fakhri Safrudin Sopandi'!$F$5:$F$54,$G6)+COUNTIF('Moh. Rizky Nugraha'!$F$5:$F$54,$G6)+COUNTIF('Muhammad Akbar Putra'!$F$5:$F$54,$G6)+COUNTIF('Muhammad Hafidz Ramadhan'!$F$5:$F$54,$G6)+COUNTIF('Muhammad Lutfhi Mubarrok'!$F$5:$F$54,$G6)+COUNTIF('Muhammad Nadhira Shafar'!$F$5:$F$54,$G6)+COUNTIF('Muhammad Rafi Fakhrul Aiman'!$F$5:$F$54,$G6)+COUNTIF('Muhammad Reyvin Aryaguna'!$F$5:$F$54,$G6)+COUNTIF('Nadzar Akbar Subagja'!$F$5:$F$54,$G6)+COUNTIF('Najwan Muhammad Ghalib'!$F$5:$F$54,$G6)+COUNTIF('Nia Rizkiyanti'!$F$5:$F$54,$G6)+COUNTIF('Nur Ainillah Nabawi'!$F$5:$F$54,$G6)+COUNTIF('Nurul Khairunnissa'!$F$5:$F$54,$G6)+COUNTIF('Putri Maharani'!$F$5:$F$54,$G6)+COUNTIF('Rika Kartika'!$F$5:$F$54,$G6)+COUNTIF('Riva Nur Fathiya Safitri'!$F$5:$F$54,$G6)+COUNTIF('Shintia Nur Fadillah'!$F$5:$F$54,$G6)+COUNTIF('Sinta Faoziah'!$F$5:$F$54,$G6)+COUNTIF('Tiara Anastasya Gumilar'!$F$5:$F$54,$G6)+COUNTIF('Tiara Maelani'!$F$5:$F$54,$G6)</f>
        <v/>
      </c>
      <c r="J6" s="52" t="inlineStr">
        <is>
          <t>Bandung Selatan</t>
        </is>
      </c>
      <c r="K6" s="52">
        <f>COUNTIF('Aina Triyana Anggraini'!$M$6:$M$50,$J6)+COUNTIF('Aldi Suryadinata'!$M$6:$M$50,$J6)+COUNTIF('Asyahlan Hielmy'!$M$6:$M$50,$J6)+COUNTIF('Asyira Nur Haida'!$M$6:$M$50,$J6)+COUNTIF('Bayu Rizki Alfarizi'!$M$6:$M$50,$J6)+COUNTIF('Chandanie Nely Agustin'!$M$6:$M$50,$J6)+COUNTIF('Dida Zein Risty'!$M$6:$M$50,$J6)+COUNTIF('Fadil Rijatul Haq'!$M$6:$M$50,$J6)+COUNTIF('Faega Fitriani Dwi Putri'!$M$6:$M$50,$J6)+COUNTIF('Fajri Rizki Robbani'!$M$6:$M$50,$J6)+COUNTIF('Fakhri Safrudin Sopandi'!$M$6:$M$50,$J6)+COUNTIF('Moh. Rizky Nugraha'!$M$6:$M$50,$J6)+COUNTIF('Muhammad Akbar Putra'!$M$6:$M$50,$J6)+COUNTIF('Muhammad Hafidz Ramadhan'!$M$6:$M$50,$J6)+COUNTIF('Muhammad Lutfhi Mubarrok'!$M$6:$M$50,$J6)+COUNTIF('Muhammad Nadhira Shafar'!$M$6:$M$50,$J6)+COUNTIF('Muhammad Rafi Fakhrul Aiman'!$M$6:$M$50,$J6)+COUNTIF('Muhammad Reyvin Aryaguna'!$M$6:$M$50,$J6)+COUNTIF('Nadzar Akbar Subagja'!$M$6:$M$50,$J6)+COUNTIF('Najwan Muhammad Ghalib'!$M$6:$M$50,$J6)+COUNTIF('Nia Rizkiyanti'!$M$6:$M$50,$J6)+COUNTIF('Nur Ainillah Nabawi'!$M$6:$M$50,$J6)+COUNTIF('Nurul Khairunnissa'!$M$6:$M$50,$J6)+COUNTIF('Putri Maharani'!$M$6:$M$50,$J6)+COUNTIF('Rika Kartika'!$M$6:$M$50,$J6)+COUNTIF('Riva Nur Fathiya Safitri'!$M$6:$M$50,$J6)+COUNTIF('Shintia Nur Fadillah'!$M$6:$M$50,$J6)+COUNTIF('Sinta Faoziah'!$M$6:$M$50,$J6)+COUNTIF('Tiara Anastasya Gumilar'!$M$6:$M$50,$J6)+COUNTIF('Tiara Maelani'!$M$6:$M$50,$J6)</f>
        <v/>
      </c>
      <c r="M6" s="52" t="inlineStr">
        <is>
          <t>Cherryfield Club House</t>
        </is>
      </c>
      <c r="N6" s="52">
        <f>COUNTIF('Aina Triyana Anggraini'!$N$6:$N$50,$M6)+COUNTIF('Aldi Suryadinata'!$N$6:$N$50,$M6)+COUNTIF('Asyahlan Hielmy'!$N$6:$N$50,$M6)+COUNTIF('Asyira Nur Haida'!$N$6:$N$50,$M6)+COUNTIF('Bayu Rizki Alfarizi'!$N$6:$N$50,$M6)+COUNTIF('Chandanie Nely Agustin'!$N$6:$N$50,$M6)+COUNTIF('Dida Zein Risty'!$N$6:$N$50,$M6)+COUNTIF('Fadil Rijatul Haq'!$N$6:$N$50,$M6)+COUNTIF('Faega Fitriani Dwi Putri'!$N$6:$N$50,$M6)+COUNTIF('Fajri Rizki Robbani'!$N$6:$N$50,$M6)+COUNTIF('Fakhri Safrudin Sopandi'!$N$6:$N$50,$M6)+COUNTIF('Moh. Rizky Nugraha'!$N$6:$N$50,$M6)+COUNTIF('Muhammad Akbar Putra'!$N$6:$N$50,$M6)+COUNTIF('Muhammad Hafidz Ramadhan'!$N$6:$N$50,$M6)+COUNTIF('Muhammad Lutfhi Mubarrok'!$N$6:$N$50,$M6)+COUNTIF('Muhammad Nadhira Shafar'!$N$6:$N$50,$M6)+COUNTIF('Muhammad Rafi Fakhrul Aiman'!$N$6:$N$50,$M6)+COUNTIF('Muhammad Reyvin Aryaguna'!$N$6:$N$50,$M6)+COUNTIF('Nadzar Akbar Subagja'!$N$6:$N$50,$M6)+COUNTIF('Najwan Muhammad Ghalib'!$N$6:$N$50,$M6)+COUNTIF('Nia Rizkiyanti'!$N$6:$N$50,$M6)+COUNTIF('Nur Ainillah Nabawi'!$N$6:$N$50,$M6)+COUNTIF('Nurul Khairunnissa'!$N$6:$N$50,$M6)+COUNTIF('Putri Maharani'!$N$6:$N$50,$M6)+COUNTIF('Rika Kartika'!$N$6:$N$50,$M6)+COUNTIF('Riva Nur Fathiya Safitri'!$N$6:$N$50,$M6)+COUNTIF('Shintia Nur Fadillah'!$N$6:$N$50,$M6)+COUNTIF('Sinta Faoziah'!$N$6:$N$50,$M6)+COUNTIF('Tiara Anastasya Gumilar'!$N$6:$N$50,$M6)+COUNTIF('Tiara Maelani'!$N$6:$N$50,$M6)</f>
        <v/>
      </c>
      <c r="P6" s="52" t="inlineStr">
        <is>
          <t>Asyahlan Hielmy</t>
        </is>
      </c>
      <c r="Q6" s="52">
        <f>COUNTA('Asyahlan Hielmy'!$B$5:$B$54)</f>
        <v/>
      </c>
      <c r="R6" s="21">
        <f>Q6+ROW()/100000</f>
        <v/>
      </c>
      <c r="T6" s="52">
        <f>INDEX($P$4:$P$33,MATCH(V6,$R$4:$R$33,0))</f>
        <v/>
      </c>
      <c r="U6" s="52">
        <f>INDEX($Q$4:$Q$33,MATCH(V6,$R$4:$R$33,0))</f>
        <v/>
      </c>
      <c r="V6" s="21">
        <f>LARGE($R$4:$R$33,3)</f>
        <v/>
      </c>
    </row>
    <row r="7">
      <c r="A7" s="52" t="inlineStr">
        <is>
          <t>Aquatike II</t>
        </is>
      </c>
      <c r="B7" s="52">
        <f>COUNTIF('Aina Triyana Anggraini'!$D$5:$D$54,$A7)+COUNTIF('Aldi Suryadinata'!$D$5:$D$54,$A7)+COUNTIF('Asyahlan Hielmy'!$D$5:$D$54,$A7)+COUNTIF('Asyira Nur Haida'!$D$5:$D$54,$A7)+COUNTIF('Bayu Rizki Alfarizi'!$D$5:$D$54,$A7)+COUNTIF('Chandanie Nely Agustin'!$D$5:$D$54,$A7)+COUNTIF('Dida Zein Risty'!$D$5:$D$54,$A7)+COUNTIF('Fadil Rijatul Haq'!$D$5:$D$54,$A7)+COUNTIF('Faega Fitriani Dwi Putri'!$D$5:$D$54,$A7)+COUNTIF('Fajri Rizki Robbani'!$D$5:$D$54,$A7)+COUNTIF('Fakhri Safrudin Sopandi'!$D$5:$D$54,$A7)+COUNTIF('Moh. Rizky Nugraha'!$D$5:$D$54,$A7)+COUNTIF('Muhammad Akbar Putra'!$D$5:$D$54,$A7)+COUNTIF('Muhammad Hafidz Ramadhan'!$D$5:$D$54,$A7)+COUNTIF('Muhammad Lutfhi Mubarrok'!$D$5:$D$54,$A7)+COUNTIF('Muhammad Nadhira Shafar'!$D$5:$D$54,$A7)+COUNTIF('Muhammad Rafi Fakhrul Aiman'!$D$5:$D$54,$A7)+COUNTIF('Muhammad Reyvin Aryaguna'!$D$5:$D$54,$A7)+COUNTIF('Nadzar Akbar Subagja'!$D$5:$D$54,$A7)+COUNTIF('Najwan Muhammad Ghalib'!$D$5:$D$54,$A7)+COUNTIF('Nia Rizkiyanti'!$D$5:$D$54,$A7)+COUNTIF('Nur Ainillah Nabawi'!$D$5:$D$54,$A7)+COUNTIF('Nurul Khairunnissa'!$D$5:$D$54,$A7)+COUNTIF('Putri Maharani'!$D$5:$D$54,$A7)+COUNTIF('Rika Kartika'!$D$5:$D$54,$A7)+COUNTIF('Riva Nur Fathiya Safitri'!$D$5:$D$54,$A7)+COUNTIF('Shintia Nur Fadillah'!$D$5:$D$54,$A7)+COUNTIF('Sinta Faoziah'!$D$5:$D$54,$A7)+COUNTIF('Tiara Anastasya Gumilar'!$D$5:$D$54,$A7)+COUNTIF('Tiara Maelani'!$D$5:$D$54,$A7)</f>
        <v/>
      </c>
      <c r="D7" s="52" t="inlineStr">
        <is>
          <t>Reguler Class</t>
        </is>
      </c>
      <c r="E7" s="52">
        <f>COUNTIF('Aina Triyana Anggraini'!$C$5:$C$54,$D7)+COUNTIF('Aldi Suryadinata'!$C$5:$C$54,$D7)+COUNTIF('Asyahlan Hielmy'!$C$5:$C$54,$D7)+COUNTIF('Asyira Nur Haida'!$C$5:$C$54,$D7)+COUNTIF('Bayu Rizki Alfarizi'!$C$5:$C$54,$D7)+COUNTIF('Chandanie Nely Agustin'!$C$5:$C$54,$D7)+COUNTIF('Dida Zein Risty'!$C$5:$C$54,$D7)+COUNTIF('Fadil Rijatul Haq'!$C$5:$C$54,$D7)+COUNTIF('Faega Fitriani Dwi Putri'!$C$5:$C$54,$D7)+COUNTIF('Fajri Rizki Robbani'!$C$5:$C$54,$D7)+COUNTIF('Fakhri Safrudin Sopandi'!$C$5:$C$54,$D7)+COUNTIF('Moh. Rizky Nugraha'!$C$5:$C$54,$D7)+COUNTIF('Muhammad Akbar Putra'!$C$5:$C$54,$D7)+COUNTIF('Muhammad Hafidz Ramadhan'!$C$5:$C$54,$D7)+COUNTIF('Muhammad Lutfhi Mubarrok'!$C$5:$C$54,$D7)+COUNTIF('Muhammad Nadhira Shafar'!$C$5:$C$54,$D7)+COUNTIF('Muhammad Rafi Fakhrul Aiman'!$C$5:$C$54,$D7)+COUNTIF('Muhammad Reyvin Aryaguna'!$C$5:$C$54,$D7)+COUNTIF('Nadzar Akbar Subagja'!$C$5:$C$54,$D7)+COUNTIF('Najwan Muhammad Ghalib'!$C$5:$C$54,$D7)+COUNTIF('Nia Rizkiyanti'!$C$5:$C$54,$D7)+COUNTIF('Nur Ainillah Nabawi'!$C$5:$C$54,$D7)+COUNTIF('Nurul Khairunnissa'!$C$5:$C$54,$D7)+COUNTIF('Putri Maharani'!$C$5:$C$54,$D7)+COUNTIF('Rika Kartika'!$C$5:$C$54,$D7)+COUNTIF('Riva Nur Fathiya Safitri'!$C$5:$C$54,$D7)+COUNTIF('Shintia Nur Fadillah'!$C$5:$C$54,$D7)+COUNTIF('Sinta Faoziah'!$C$5:$C$54,$D7)+COUNTIF('Tiara Anastasya Gumilar'!$C$5:$C$54,$D7)+COUNTIF('Tiara Maelani'!$C$5:$C$54,$D7)</f>
        <v/>
      </c>
      <c r="G7" s="53" t="inlineStr">
        <is>
          <t>(Belum diisi)</t>
        </is>
      </c>
      <c r="H7" s="52">
        <f>B21-SUM(H4:H6)</f>
        <v/>
      </c>
      <c r="J7" s="52" t="inlineStr">
        <is>
          <t>Bandung Timur</t>
        </is>
      </c>
      <c r="K7" s="52">
        <f>COUNTIF('Aina Triyana Anggraini'!$M$6:$M$50,$J7)+COUNTIF('Aldi Suryadinata'!$M$6:$M$50,$J7)+COUNTIF('Asyahlan Hielmy'!$M$6:$M$50,$J7)+COUNTIF('Asyira Nur Haida'!$M$6:$M$50,$J7)+COUNTIF('Bayu Rizki Alfarizi'!$M$6:$M$50,$J7)+COUNTIF('Chandanie Nely Agustin'!$M$6:$M$50,$J7)+COUNTIF('Dida Zein Risty'!$M$6:$M$50,$J7)+COUNTIF('Fadil Rijatul Haq'!$M$6:$M$50,$J7)+COUNTIF('Faega Fitriani Dwi Putri'!$M$6:$M$50,$J7)+COUNTIF('Fajri Rizki Robbani'!$M$6:$M$50,$J7)+COUNTIF('Fakhri Safrudin Sopandi'!$M$6:$M$50,$J7)+COUNTIF('Moh. Rizky Nugraha'!$M$6:$M$50,$J7)+COUNTIF('Muhammad Akbar Putra'!$M$6:$M$50,$J7)+COUNTIF('Muhammad Hafidz Ramadhan'!$M$6:$M$50,$J7)+COUNTIF('Muhammad Lutfhi Mubarrok'!$M$6:$M$50,$J7)+COUNTIF('Muhammad Nadhira Shafar'!$M$6:$M$50,$J7)+COUNTIF('Muhammad Rafi Fakhrul Aiman'!$M$6:$M$50,$J7)+COUNTIF('Muhammad Reyvin Aryaguna'!$M$6:$M$50,$J7)+COUNTIF('Nadzar Akbar Subagja'!$M$6:$M$50,$J7)+COUNTIF('Najwan Muhammad Ghalib'!$M$6:$M$50,$J7)+COUNTIF('Nia Rizkiyanti'!$M$6:$M$50,$J7)+COUNTIF('Nur Ainillah Nabawi'!$M$6:$M$50,$J7)+COUNTIF('Nurul Khairunnissa'!$M$6:$M$50,$J7)+COUNTIF('Putri Maharani'!$M$6:$M$50,$J7)+COUNTIF('Rika Kartika'!$M$6:$M$50,$J7)+COUNTIF('Riva Nur Fathiya Safitri'!$M$6:$M$50,$J7)+COUNTIF('Shintia Nur Fadillah'!$M$6:$M$50,$J7)+COUNTIF('Sinta Faoziah'!$M$6:$M$50,$J7)+COUNTIF('Tiara Anastasya Gumilar'!$M$6:$M$50,$J7)+COUNTIF('Tiara Maelani'!$M$6:$M$50,$J7)</f>
        <v/>
      </c>
      <c r="M7" s="52" t="inlineStr">
        <is>
          <t>Hotel Cozy Catellya Boutique</t>
        </is>
      </c>
      <c r="N7" s="52">
        <f>COUNTIF('Aina Triyana Anggraini'!$N$6:$N$50,$M7)+COUNTIF('Aldi Suryadinata'!$N$6:$N$50,$M7)+COUNTIF('Asyahlan Hielmy'!$N$6:$N$50,$M7)+COUNTIF('Asyira Nur Haida'!$N$6:$N$50,$M7)+COUNTIF('Bayu Rizki Alfarizi'!$N$6:$N$50,$M7)+COUNTIF('Chandanie Nely Agustin'!$N$6:$N$50,$M7)+COUNTIF('Dida Zein Risty'!$N$6:$N$50,$M7)+COUNTIF('Fadil Rijatul Haq'!$N$6:$N$50,$M7)+COUNTIF('Faega Fitriani Dwi Putri'!$N$6:$N$50,$M7)+COUNTIF('Fajri Rizki Robbani'!$N$6:$N$50,$M7)+COUNTIF('Fakhri Safrudin Sopandi'!$N$6:$N$50,$M7)+COUNTIF('Moh. Rizky Nugraha'!$N$6:$N$50,$M7)+COUNTIF('Muhammad Akbar Putra'!$N$6:$N$50,$M7)+COUNTIF('Muhammad Hafidz Ramadhan'!$N$6:$N$50,$M7)+COUNTIF('Muhammad Lutfhi Mubarrok'!$N$6:$N$50,$M7)+COUNTIF('Muhammad Nadhira Shafar'!$N$6:$N$50,$M7)+COUNTIF('Muhammad Rafi Fakhrul Aiman'!$N$6:$N$50,$M7)+COUNTIF('Muhammad Reyvin Aryaguna'!$N$6:$N$50,$M7)+COUNTIF('Nadzar Akbar Subagja'!$N$6:$N$50,$M7)+COUNTIF('Najwan Muhammad Ghalib'!$N$6:$N$50,$M7)+COUNTIF('Nia Rizkiyanti'!$N$6:$N$50,$M7)+COUNTIF('Nur Ainillah Nabawi'!$N$6:$N$50,$M7)+COUNTIF('Nurul Khairunnissa'!$N$6:$N$50,$M7)+COUNTIF('Putri Maharani'!$N$6:$N$50,$M7)+COUNTIF('Rika Kartika'!$N$6:$N$50,$M7)+COUNTIF('Riva Nur Fathiya Safitri'!$N$6:$N$50,$M7)+COUNTIF('Shintia Nur Fadillah'!$N$6:$N$50,$M7)+COUNTIF('Sinta Faoziah'!$N$6:$N$50,$M7)+COUNTIF('Tiara Anastasya Gumilar'!$N$6:$N$50,$M7)+COUNTIF('Tiara Maelani'!$N$6:$N$50,$M7)</f>
        <v/>
      </c>
      <c r="P7" s="52" t="inlineStr">
        <is>
          <t>Asyira Nur Haida</t>
        </is>
      </c>
      <c r="Q7" s="52">
        <f>COUNTA('Asyira Nur Haida'!$B$5:$B$54)</f>
        <v/>
      </c>
      <c r="R7" s="21">
        <f>Q7+ROW()/100000</f>
        <v/>
      </c>
      <c r="T7" s="52">
        <f>INDEX($P$4:$P$33,MATCH(V7,$R$4:$R$33,0))</f>
        <v/>
      </c>
      <c r="U7" s="52">
        <f>INDEX($Q$4:$Q$33,MATCH(V7,$R$4:$R$33,0))</f>
        <v/>
      </c>
      <c r="V7" s="21">
        <f>LARGE($R$4:$R$33,4)</f>
        <v/>
      </c>
    </row>
    <row r="8">
      <c r="A8" s="52" t="inlineStr">
        <is>
          <t>Aquatike III</t>
        </is>
      </c>
      <c r="B8" s="52">
        <f>COUNTIF('Aina Triyana Anggraini'!$D$5:$D$54,$A8)+COUNTIF('Aldi Suryadinata'!$D$5:$D$54,$A8)+COUNTIF('Asyahlan Hielmy'!$D$5:$D$54,$A8)+COUNTIF('Asyira Nur Haida'!$D$5:$D$54,$A8)+COUNTIF('Bayu Rizki Alfarizi'!$D$5:$D$54,$A8)+COUNTIF('Chandanie Nely Agustin'!$D$5:$D$54,$A8)+COUNTIF('Dida Zein Risty'!$D$5:$D$54,$A8)+COUNTIF('Fadil Rijatul Haq'!$D$5:$D$54,$A8)+COUNTIF('Faega Fitriani Dwi Putri'!$D$5:$D$54,$A8)+COUNTIF('Fajri Rizki Robbani'!$D$5:$D$54,$A8)+COUNTIF('Fakhri Safrudin Sopandi'!$D$5:$D$54,$A8)+COUNTIF('Moh. Rizky Nugraha'!$D$5:$D$54,$A8)+COUNTIF('Muhammad Akbar Putra'!$D$5:$D$54,$A8)+COUNTIF('Muhammad Hafidz Ramadhan'!$D$5:$D$54,$A8)+COUNTIF('Muhammad Lutfhi Mubarrok'!$D$5:$D$54,$A8)+COUNTIF('Muhammad Nadhira Shafar'!$D$5:$D$54,$A8)+COUNTIF('Muhammad Rafi Fakhrul Aiman'!$D$5:$D$54,$A8)+COUNTIF('Muhammad Reyvin Aryaguna'!$D$5:$D$54,$A8)+COUNTIF('Nadzar Akbar Subagja'!$D$5:$D$54,$A8)+COUNTIF('Najwan Muhammad Ghalib'!$D$5:$D$54,$A8)+COUNTIF('Nia Rizkiyanti'!$D$5:$D$54,$A8)+COUNTIF('Nur Ainillah Nabawi'!$D$5:$D$54,$A8)+COUNTIF('Nurul Khairunnissa'!$D$5:$D$54,$A8)+COUNTIF('Putri Maharani'!$D$5:$D$54,$A8)+COUNTIF('Rika Kartika'!$D$5:$D$54,$A8)+COUNTIF('Riva Nur Fathiya Safitri'!$D$5:$D$54,$A8)+COUNTIF('Shintia Nur Fadillah'!$D$5:$D$54,$A8)+COUNTIF('Sinta Faoziah'!$D$5:$D$54,$A8)+COUNTIF('Tiara Anastasya Gumilar'!$D$5:$D$54,$A8)+COUNTIF('Tiara Maelani'!$D$5:$D$54,$A8)</f>
        <v/>
      </c>
      <c r="D8" s="52" t="inlineStr">
        <is>
          <t>Baby Swim</t>
        </is>
      </c>
      <c r="E8" s="52">
        <f>COUNTIF('Aina Triyana Anggraini'!$C$5:$C$54,$D8)+COUNTIF('Aldi Suryadinata'!$C$5:$C$54,$D8)+COUNTIF('Asyahlan Hielmy'!$C$5:$C$54,$D8)+COUNTIF('Asyira Nur Haida'!$C$5:$C$54,$D8)+COUNTIF('Bayu Rizki Alfarizi'!$C$5:$C$54,$D8)+COUNTIF('Chandanie Nely Agustin'!$C$5:$C$54,$D8)+COUNTIF('Dida Zein Risty'!$C$5:$C$54,$D8)+COUNTIF('Fadil Rijatul Haq'!$C$5:$C$54,$D8)+COUNTIF('Faega Fitriani Dwi Putri'!$C$5:$C$54,$D8)+COUNTIF('Fajri Rizki Robbani'!$C$5:$C$54,$D8)+COUNTIF('Fakhri Safrudin Sopandi'!$C$5:$C$54,$D8)+COUNTIF('Moh. Rizky Nugraha'!$C$5:$C$54,$D8)+COUNTIF('Muhammad Akbar Putra'!$C$5:$C$54,$D8)+COUNTIF('Muhammad Hafidz Ramadhan'!$C$5:$C$54,$D8)+COUNTIF('Muhammad Lutfhi Mubarrok'!$C$5:$C$54,$D8)+COUNTIF('Muhammad Nadhira Shafar'!$C$5:$C$54,$D8)+COUNTIF('Muhammad Rafi Fakhrul Aiman'!$C$5:$C$54,$D8)+COUNTIF('Muhammad Reyvin Aryaguna'!$C$5:$C$54,$D8)+COUNTIF('Nadzar Akbar Subagja'!$C$5:$C$54,$D8)+COUNTIF('Najwan Muhammad Ghalib'!$C$5:$C$54,$D8)+COUNTIF('Nia Rizkiyanti'!$C$5:$C$54,$D8)+COUNTIF('Nur Ainillah Nabawi'!$C$5:$C$54,$D8)+COUNTIF('Nurul Khairunnissa'!$C$5:$C$54,$D8)+COUNTIF('Putri Maharani'!$C$5:$C$54,$D8)+COUNTIF('Rika Kartika'!$C$5:$C$54,$D8)+COUNTIF('Riva Nur Fathiya Safitri'!$C$5:$C$54,$D8)+COUNTIF('Shintia Nur Fadillah'!$C$5:$C$54,$D8)+COUNTIF('Sinta Faoziah'!$C$5:$C$54,$D8)+COUNTIF('Tiara Anastasya Gumilar'!$C$5:$C$54,$D8)+COUNTIF('Tiara Maelani'!$C$5:$C$54,$D8)</f>
        <v/>
      </c>
      <c r="J8" s="52" t="inlineStr">
        <is>
          <t>Bandung Barat</t>
        </is>
      </c>
      <c r="K8" s="52">
        <f>COUNTIF('Aina Triyana Anggraini'!$M$6:$M$50,$J8)+COUNTIF('Aldi Suryadinata'!$M$6:$M$50,$J8)+COUNTIF('Asyahlan Hielmy'!$M$6:$M$50,$J8)+COUNTIF('Asyira Nur Haida'!$M$6:$M$50,$J8)+COUNTIF('Bayu Rizki Alfarizi'!$M$6:$M$50,$J8)+COUNTIF('Chandanie Nely Agustin'!$M$6:$M$50,$J8)+COUNTIF('Dida Zein Risty'!$M$6:$M$50,$J8)+COUNTIF('Fadil Rijatul Haq'!$M$6:$M$50,$J8)+COUNTIF('Faega Fitriani Dwi Putri'!$M$6:$M$50,$J8)+COUNTIF('Fajri Rizki Robbani'!$M$6:$M$50,$J8)+COUNTIF('Fakhri Safrudin Sopandi'!$M$6:$M$50,$J8)+COUNTIF('Moh. Rizky Nugraha'!$M$6:$M$50,$J8)+COUNTIF('Muhammad Akbar Putra'!$M$6:$M$50,$J8)+COUNTIF('Muhammad Hafidz Ramadhan'!$M$6:$M$50,$J8)+COUNTIF('Muhammad Lutfhi Mubarrok'!$M$6:$M$50,$J8)+COUNTIF('Muhammad Nadhira Shafar'!$M$6:$M$50,$J8)+COUNTIF('Muhammad Rafi Fakhrul Aiman'!$M$6:$M$50,$J8)+COUNTIF('Muhammad Reyvin Aryaguna'!$M$6:$M$50,$J8)+COUNTIF('Nadzar Akbar Subagja'!$M$6:$M$50,$J8)+COUNTIF('Najwan Muhammad Ghalib'!$M$6:$M$50,$J8)+COUNTIF('Nia Rizkiyanti'!$M$6:$M$50,$J8)+COUNTIF('Nur Ainillah Nabawi'!$M$6:$M$50,$J8)+COUNTIF('Nurul Khairunnissa'!$M$6:$M$50,$J8)+COUNTIF('Putri Maharani'!$M$6:$M$50,$J8)+COUNTIF('Rika Kartika'!$M$6:$M$50,$J8)+COUNTIF('Riva Nur Fathiya Safitri'!$M$6:$M$50,$J8)+COUNTIF('Shintia Nur Fadillah'!$M$6:$M$50,$J8)+COUNTIF('Sinta Faoziah'!$M$6:$M$50,$J8)+COUNTIF('Tiara Anastasya Gumilar'!$M$6:$M$50,$J8)+COUNTIF('Tiara Maelani'!$M$6:$M$50,$J8)</f>
        <v/>
      </c>
      <c r="M8" s="52" t="inlineStr">
        <is>
          <t>Hotel Grand Arjuna Bandung</t>
        </is>
      </c>
      <c r="N8" s="52">
        <f>COUNTIF('Aina Triyana Anggraini'!$N$6:$N$50,$M8)+COUNTIF('Aldi Suryadinata'!$N$6:$N$50,$M8)+COUNTIF('Asyahlan Hielmy'!$N$6:$N$50,$M8)+COUNTIF('Asyira Nur Haida'!$N$6:$N$50,$M8)+COUNTIF('Bayu Rizki Alfarizi'!$N$6:$N$50,$M8)+COUNTIF('Chandanie Nely Agustin'!$N$6:$N$50,$M8)+COUNTIF('Dida Zein Risty'!$N$6:$N$50,$M8)+COUNTIF('Fadil Rijatul Haq'!$N$6:$N$50,$M8)+COUNTIF('Faega Fitriani Dwi Putri'!$N$6:$N$50,$M8)+COUNTIF('Fajri Rizki Robbani'!$N$6:$N$50,$M8)+COUNTIF('Fakhri Safrudin Sopandi'!$N$6:$N$50,$M8)+COUNTIF('Moh. Rizky Nugraha'!$N$6:$N$50,$M8)+COUNTIF('Muhammad Akbar Putra'!$N$6:$N$50,$M8)+COUNTIF('Muhammad Hafidz Ramadhan'!$N$6:$N$50,$M8)+COUNTIF('Muhammad Lutfhi Mubarrok'!$N$6:$N$50,$M8)+COUNTIF('Muhammad Nadhira Shafar'!$N$6:$N$50,$M8)+COUNTIF('Muhammad Rafi Fakhrul Aiman'!$N$6:$N$50,$M8)+COUNTIF('Muhammad Reyvin Aryaguna'!$N$6:$N$50,$M8)+COUNTIF('Nadzar Akbar Subagja'!$N$6:$N$50,$M8)+COUNTIF('Najwan Muhammad Ghalib'!$N$6:$N$50,$M8)+COUNTIF('Nia Rizkiyanti'!$N$6:$N$50,$M8)+COUNTIF('Nur Ainillah Nabawi'!$N$6:$N$50,$M8)+COUNTIF('Nurul Khairunnissa'!$N$6:$N$50,$M8)+COUNTIF('Putri Maharani'!$N$6:$N$50,$M8)+COUNTIF('Rika Kartika'!$N$6:$N$50,$M8)+COUNTIF('Riva Nur Fathiya Safitri'!$N$6:$N$50,$M8)+COUNTIF('Shintia Nur Fadillah'!$N$6:$N$50,$M8)+COUNTIF('Sinta Faoziah'!$N$6:$N$50,$M8)+COUNTIF('Tiara Anastasya Gumilar'!$N$6:$N$50,$M8)+COUNTIF('Tiara Maelani'!$N$6:$N$50,$M8)</f>
        <v/>
      </c>
      <c r="P8" s="52" t="inlineStr">
        <is>
          <t>Bayu Rizki Alfarizi</t>
        </is>
      </c>
      <c r="Q8" s="52">
        <f>COUNTA('Bayu Rizki Alfarizi'!$B$5:$B$54)</f>
        <v/>
      </c>
      <c r="R8" s="21">
        <f>Q8+ROW()/100000</f>
        <v/>
      </c>
      <c r="T8" s="52">
        <f>INDEX($P$4:$P$33,MATCH(V8,$R$4:$R$33,0))</f>
        <v/>
      </c>
      <c r="U8" s="52">
        <f>INDEX($Q$4:$Q$33,MATCH(V8,$R$4:$R$33,0))</f>
        <v/>
      </c>
      <c r="V8" s="21">
        <f>LARGE($R$4:$R$33,5)</f>
        <v/>
      </c>
    </row>
    <row r="9">
      <c r="A9" s="52" t="inlineStr">
        <is>
          <t>Preschool I</t>
        </is>
      </c>
      <c r="B9" s="52">
        <f>COUNTIF('Aina Triyana Anggraini'!$D$5:$D$54,$A9)+COUNTIF('Aldi Suryadinata'!$D$5:$D$54,$A9)+COUNTIF('Asyahlan Hielmy'!$D$5:$D$54,$A9)+COUNTIF('Asyira Nur Haida'!$D$5:$D$54,$A9)+COUNTIF('Bayu Rizki Alfarizi'!$D$5:$D$54,$A9)+COUNTIF('Chandanie Nely Agustin'!$D$5:$D$54,$A9)+COUNTIF('Dida Zein Risty'!$D$5:$D$54,$A9)+COUNTIF('Fadil Rijatul Haq'!$D$5:$D$54,$A9)+COUNTIF('Faega Fitriani Dwi Putri'!$D$5:$D$54,$A9)+COUNTIF('Fajri Rizki Robbani'!$D$5:$D$54,$A9)+COUNTIF('Fakhri Safrudin Sopandi'!$D$5:$D$54,$A9)+COUNTIF('Moh. Rizky Nugraha'!$D$5:$D$54,$A9)+COUNTIF('Muhammad Akbar Putra'!$D$5:$D$54,$A9)+COUNTIF('Muhammad Hafidz Ramadhan'!$D$5:$D$54,$A9)+COUNTIF('Muhammad Lutfhi Mubarrok'!$D$5:$D$54,$A9)+COUNTIF('Muhammad Nadhira Shafar'!$D$5:$D$54,$A9)+COUNTIF('Muhammad Rafi Fakhrul Aiman'!$D$5:$D$54,$A9)+COUNTIF('Muhammad Reyvin Aryaguna'!$D$5:$D$54,$A9)+COUNTIF('Nadzar Akbar Subagja'!$D$5:$D$54,$A9)+COUNTIF('Najwan Muhammad Ghalib'!$D$5:$D$54,$A9)+COUNTIF('Nia Rizkiyanti'!$D$5:$D$54,$A9)+COUNTIF('Nur Ainillah Nabawi'!$D$5:$D$54,$A9)+COUNTIF('Nurul Khairunnissa'!$D$5:$D$54,$A9)+COUNTIF('Putri Maharani'!$D$5:$D$54,$A9)+COUNTIF('Rika Kartika'!$D$5:$D$54,$A9)+COUNTIF('Riva Nur Fathiya Safitri'!$D$5:$D$54,$A9)+COUNTIF('Shintia Nur Fadillah'!$D$5:$D$54,$A9)+COUNTIF('Sinta Faoziah'!$D$5:$D$54,$A9)+COUNTIF('Tiara Anastasya Gumilar'!$D$5:$D$54,$A9)+COUNTIF('Tiara Maelani'!$D$5:$D$54,$A9)</f>
        <v/>
      </c>
      <c r="D9" s="52" t="inlineStr">
        <is>
          <t>Hydrotherapy Class</t>
        </is>
      </c>
      <c r="E9" s="52">
        <f>COUNTIF('Aina Triyana Anggraini'!$C$5:$C$54,$D9)+COUNTIF('Aldi Suryadinata'!$C$5:$C$54,$D9)+COUNTIF('Asyahlan Hielmy'!$C$5:$C$54,$D9)+COUNTIF('Asyira Nur Haida'!$C$5:$C$54,$D9)+COUNTIF('Bayu Rizki Alfarizi'!$C$5:$C$54,$D9)+COUNTIF('Chandanie Nely Agustin'!$C$5:$C$54,$D9)+COUNTIF('Dida Zein Risty'!$C$5:$C$54,$D9)+COUNTIF('Fadil Rijatul Haq'!$C$5:$C$54,$D9)+COUNTIF('Faega Fitriani Dwi Putri'!$C$5:$C$54,$D9)+COUNTIF('Fajri Rizki Robbani'!$C$5:$C$54,$D9)+COUNTIF('Fakhri Safrudin Sopandi'!$C$5:$C$54,$D9)+COUNTIF('Moh. Rizky Nugraha'!$C$5:$C$54,$D9)+COUNTIF('Muhammad Akbar Putra'!$C$5:$C$54,$D9)+COUNTIF('Muhammad Hafidz Ramadhan'!$C$5:$C$54,$D9)+COUNTIF('Muhammad Lutfhi Mubarrok'!$C$5:$C$54,$D9)+COUNTIF('Muhammad Nadhira Shafar'!$C$5:$C$54,$D9)+COUNTIF('Muhammad Rafi Fakhrul Aiman'!$C$5:$C$54,$D9)+COUNTIF('Muhammad Reyvin Aryaguna'!$C$5:$C$54,$D9)+COUNTIF('Nadzar Akbar Subagja'!$C$5:$C$54,$D9)+COUNTIF('Najwan Muhammad Ghalib'!$C$5:$C$54,$D9)+COUNTIF('Nia Rizkiyanti'!$C$5:$C$54,$D9)+COUNTIF('Nur Ainillah Nabawi'!$C$5:$C$54,$D9)+COUNTIF('Nurul Khairunnissa'!$C$5:$C$54,$D9)+COUNTIF('Putri Maharani'!$C$5:$C$54,$D9)+COUNTIF('Rika Kartika'!$C$5:$C$54,$D9)+COUNTIF('Riva Nur Fathiya Safitri'!$C$5:$C$54,$D9)+COUNTIF('Shintia Nur Fadillah'!$C$5:$C$54,$D9)+COUNTIF('Sinta Faoziah'!$C$5:$C$54,$D9)+COUNTIF('Tiara Anastasya Gumilar'!$C$5:$C$54,$D9)+COUNTIF('Tiara Maelani'!$C$5:$C$54,$D9)</f>
        <v/>
      </c>
      <c r="J9" s="52" t="inlineStr">
        <is>
          <t>Cimahi</t>
        </is>
      </c>
      <c r="K9" s="52">
        <f>COUNTIF('Aina Triyana Anggraini'!$M$6:$M$50,$J9)+COUNTIF('Aldi Suryadinata'!$M$6:$M$50,$J9)+COUNTIF('Asyahlan Hielmy'!$M$6:$M$50,$J9)+COUNTIF('Asyira Nur Haida'!$M$6:$M$50,$J9)+COUNTIF('Bayu Rizki Alfarizi'!$M$6:$M$50,$J9)+COUNTIF('Chandanie Nely Agustin'!$M$6:$M$50,$J9)+COUNTIF('Dida Zein Risty'!$M$6:$M$50,$J9)+COUNTIF('Fadil Rijatul Haq'!$M$6:$M$50,$J9)+COUNTIF('Faega Fitriani Dwi Putri'!$M$6:$M$50,$J9)+COUNTIF('Fajri Rizki Robbani'!$M$6:$M$50,$J9)+COUNTIF('Fakhri Safrudin Sopandi'!$M$6:$M$50,$J9)+COUNTIF('Moh. Rizky Nugraha'!$M$6:$M$50,$J9)+COUNTIF('Muhammad Akbar Putra'!$M$6:$M$50,$J9)+COUNTIF('Muhammad Hafidz Ramadhan'!$M$6:$M$50,$J9)+COUNTIF('Muhammad Lutfhi Mubarrok'!$M$6:$M$50,$J9)+COUNTIF('Muhammad Nadhira Shafar'!$M$6:$M$50,$J9)+COUNTIF('Muhammad Rafi Fakhrul Aiman'!$M$6:$M$50,$J9)+COUNTIF('Muhammad Reyvin Aryaguna'!$M$6:$M$50,$J9)+COUNTIF('Nadzar Akbar Subagja'!$M$6:$M$50,$J9)+COUNTIF('Najwan Muhammad Ghalib'!$M$6:$M$50,$J9)+COUNTIF('Nia Rizkiyanti'!$M$6:$M$50,$J9)+COUNTIF('Nur Ainillah Nabawi'!$M$6:$M$50,$J9)+COUNTIF('Nurul Khairunnissa'!$M$6:$M$50,$J9)+COUNTIF('Putri Maharani'!$M$6:$M$50,$J9)+COUNTIF('Rika Kartika'!$M$6:$M$50,$J9)+COUNTIF('Riva Nur Fathiya Safitri'!$M$6:$M$50,$J9)+COUNTIF('Shintia Nur Fadillah'!$M$6:$M$50,$J9)+COUNTIF('Sinta Faoziah'!$M$6:$M$50,$J9)+COUNTIF('Tiara Anastasya Gumilar'!$M$6:$M$50,$J9)+COUNTIF('Tiara Maelani'!$M$6:$M$50,$J9)</f>
        <v/>
      </c>
      <c r="M9" s="52" t="inlineStr">
        <is>
          <t>Hotel Grand Pacific</t>
        </is>
      </c>
      <c r="N9" s="52">
        <f>COUNTIF('Aina Triyana Anggraini'!$N$6:$N$50,$M9)+COUNTIF('Aldi Suryadinata'!$N$6:$N$50,$M9)+COUNTIF('Asyahlan Hielmy'!$N$6:$N$50,$M9)+COUNTIF('Asyira Nur Haida'!$N$6:$N$50,$M9)+COUNTIF('Bayu Rizki Alfarizi'!$N$6:$N$50,$M9)+COUNTIF('Chandanie Nely Agustin'!$N$6:$N$50,$M9)+COUNTIF('Dida Zein Risty'!$N$6:$N$50,$M9)+COUNTIF('Fadil Rijatul Haq'!$N$6:$N$50,$M9)+COUNTIF('Faega Fitriani Dwi Putri'!$N$6:$N$50,$M9)+COUNTIF('Fajri Rizki Robbani'!$N$6:$N$50,$M9)+COUNTIF('Fakhri Safrudin Sopandi'!$N$6:$N$50,$M9)+COUNTIF('Moh. Rizky Nugraha'!$N$6:$N$50,$M9)+COUNTIF('Muhammad Akbar Putra'!$N$6:$N$50,$M9)+COUNTIF('Muhammad Hafidz Ramadhan'!$N$6:$N$50,$M9)+COUNTIF('Muhammad Lutfhi Mubarrok'!$N$6:$N$50,$M9)+COUNTIF('Muhammad Nadhira Shafar'!$N$6:$N$50,$M9)+COUNTIF('Muhammad Rafi Fakhrul Aiman'!$N$6:$N$50,$M9)+COUNTIF('Muhammad Reyvin Aryaguna'!$N$6:$N$50,$M9)+COUNTIF('Nadzar Akbar Subagja'!$N$6:$N$50,$M9)+COUNTIF('Najwan Muhammad Ghalib'!$N$6:$N$50,$M9)+COUNTIF('Nia Rizkiyanti'!$N$6:$N$50,$M9)+COUNTIF('Nur Ainillah Nabawi'!$N$6:$N$50,$M9)+COUNTIF('Nurul Khairunnissa'!$N$6:$N$50,$M9)+COUNTIF('Putri Maharani'!$N$6:$N$50,$M9)+COUNTIF('Rika Kartika'!$N$6:$N$50,$M9)+COUNTIF('Riva Nur Fathiya Safitri'!$N$6:$N$50,$M9)+COUNTIF('Shintia Nur Fadillah'!$N$6:$N$50,$M9)+COUNTIF('Sinta Faoziah'!$N$6:$N$50,$M9)+COUNTIF('Tiara Anastasya Gumilar'!$N$6:$N$50,$M9)+COUNTIF('Tiara Maelani'!$N$6:$N$50,$M9)</f>
        <v/>
      </c>
      <c r="P9" s="52" t="inlineStr">
        <is>
          <t>Chandanie Nely Agustin</t>
        </is>
      </c>
      <c r="Q9" s="52">
        <f>COUNTA('Chandanie Nely Agustin'!$B$5:$B$54)</f>
        <v/>
      </c>
      <c r="R9" s="21">
        <f>Q9+ROW()/100000</f>
        <v/>
      </c>
      <c r="T9" s="52">
        <f>INDEX($P$4:$P$33,MATCH(V9,$R$4:$R$33,0))</f>
        <v/>
      </c>
      <c r="U9" s="52">
        <f>INDEX($Q$4:$Q$33,MATCH(V9,$R$4:$R$33,0))</f>
        <v/>
      </c>
      <c r="V9" s="21">
        <f>LARGE($R$4:$R$33,6)</f>
        <v/>
      </c>
    </row>
    <row r="10">
      <c r="A10" s="52" t="inlineStr">
        <is>
          <t>Preschool II</t>
        </is>
      </c>
      <c r="B10" s="52">
        <f>COUNTIF('Aina Triyana Anggraini'!$D$5:$D$54,$A10)+COUNTIF('Aldi Suryadinata'!$D$5:$D$54,$A10)+COUNTIF('Asyahlan Hielmy'!$D$5:$D$54,$A10)+COUNTIF('Asyira Nur Haida'!$D$5:$D$54,$A10)+COUNTIF('Bayu Rizki Alfarizi'!$D$5:$D$54,$A10)+COUNTIF('Chandanie Nely Agustin'!$D$5:$D$54,$A10)+COUNTIF('Dida Zein Risty'!$D$5:$D$54,$A10)+COUNTIF('Fadil Rijatul Haq'!$D$5:$D$54,$A10)+COUNTIF('Faega Fitriani Dwi Putri'!$D$5:$D$54,$A10)+COUNTIF('Fajri Rizki Robbani'!$D$5:$D$54,$A10)+COUNTIF('Fakhri Safrudin Sopandi'!$D$5:$D$54,$A10)+COUNTIF('Moh. Rizky Nugraha'!$D$5:$D$54,$A10)+COUNTIF('Muhammad Akbar Putra'!$D$5:$D$54,$A10)+COUNTIF('Muhammad Hafidz Ramadhan'!$D$5:$D$54,$A10)+COUNTIF('Muhammad Lutfhi Mubarrok'!$D$5:$D$54,$A10)+COUNTIF('Muhammad Nadhira Shafar'!$D$5:$D$54,$A10)+COUNTIF('Muhammad Rafi Fakhrul Aiman'!$D$5:$D$54,$A10)+COUNTIF('Muhammad Reyvin Aryaguna'!$D$5:$D$54,$A10)+COUNTIF('Nadzar Akbar Subagja'!$D$5:$D$54,$A10)+COUNTIF('Najwan Muhammad Ghalib'!$D$5:$D$54,$A10)+COUNTIF('Nia Rizkiyanti'!$D$5:$D$54,$A10)+COUNTIF('Nur Ainillah Nabawi'!$D$5:$D$54,$A10)+COUNTIF('Nurul Khairunnissa'!$D$5:$D$54,$A10)+COUNTIF('Putri Maharani'!$D$5:$D$54,$A10)+COUNTIF('Rika Kartika'!$D$5:$D$54,$A10)+COUNTIF('Riva Nur Fathiya Safitri'!$D$5:$D$54,$A10)+COUNTIF('Shintia Nur Fadillah'!$D$5:$D$54,$A10)+COUNTIF('Sinta Faoziah'!$D$5:$D$54,$A10)+COUNTIF('Tiara Anastasya Gumilar'!$D$5:$D$54,$A10)+COUNTIF('Tiara Maelani'!$D$5:$D$54,$A10)</f>
        <v/>
      </c>
      <c r="D10" s="53" t="inlineStr">
        <is>
          <t>(Belum diisi)</t>
        </is>
      </c>
      <c r="E10" s="52">
        <f>B21-SUM(E4:E9)</f>
        <v/>
      </c>
      <c r="G10" s="50" t="inlineStr">
        <is>
          <t>Sosialisasi</t>
        </is>
      </c>
      <c r="H10" s="50" t="inlineStr">
        <is>
          <t>Siswa</t>
        </is>
      </c>
      <c r="M10" s="52" t="inlineStr">
        <is>
          <t>Hotel Kytos Setiabudi</t>
        </is>
      </c>
      <c r="N10" s="52">
        <f>COUNTIF('Aina Triyana Anggraini'!$N$6:$N$50,$M10)+COUNTIF('Aldi Suryadinata'!$N$6:$N$50,$M10)+COUNTIF('Asyahlan Hielmy'!$N$6:$N$50,$M10)+COUNTIF('Asyira Nur Haida'!$N$6:$N$50,$M10)+COUNTIF('Bayu Rizki Alfarizi'!$N$6:$N$50,$M10)+COUNTIF('Chandanie Nely Agustin'!$N$6:$N$50,$M10)+COUNTIF('Dida Zein Risty'!$N$6:$N$50,$M10)+COUNTIF('Fadil Rijatul Haq'!$N$6:$N$50,$M10)+COUNTIF('Faega Fitriani Dwi Putri'!$N$6:$N$50,$M10)+COUNTIF('Fajri Rizki Robbani'!$N$6:$N$50,$M10)+COUNTIF('Fakhri Safrudin Sopandi'!$N$6:$N$50,$M10)+COUNTIF('Moh. Rizky Nugraha'!$N$6:$N$50,$M10)+COUNTIF('Muhammad Akbar Putra'!$N$6:$N$50,$M10)+COUNTIF('Muhammad Hafidz Ramadhan'!$N$6:$N$50,$M10)+COUNTIF('Muhammad Lutfhi Mubarrok'!$N$6:$N$50,$M10)+COUNTIF('Muhammad Nadhira Shafar'!$N$6:$N$50,$M10)+COUNTIF('Muhammad Rafi Fakhrul Aiman'!$N$6:$N$50,$M10)+COUNTIF('Muhammad Reyvin Aryaguna'!$N$6:$N$50,$M10)+COUNTIF('Nadzar Akbar Subagja'!$N$6:$N$50,$M10)+COUNTIF('Najwan Muhammad Ghalib'!$N$6:$N$50,$M10)+COUNTIF('Nia Rizkiyanti'!$N$6:$N$50,$M10)+COUNTIF('Nur Ainillah Nabawi'!$N$6:$N$50,$M10)+COUNTIF('Nurul Khairunnissa'!$N$6:$N$50,$M10)+COUNTIF('Putri Maharani'!$N$6:$N$50,$M10)+COUNTIF('Rika Kartika'!$N$6:$N$50,$M10)+COUNTIF('Riva Nur Fathiya Safitri'!$N$6:$N$50,$M10)+COUNTIF('Shintia Nur Fadillah'!$N$6:$N$50,$M10)+COUNTIF('Sinta Faoziah'!$N$6:$N$50,$M10)+COUNTIF('Tiara Anastasya Gumilar'!$N$6:$N$50,$M10)+COUNTIF('Tiara Maelani'!$N$6:$N$50,$M10)</f>
        <v/>
      </c>
      <c r="P10" s="52" t="inlineStr">
        <is>
          <t>Dida Zein Risty</t>
        </is>
      </c>
      <c r="Q10" s="52">
        <f>COUNTA('Dida Zein Risty'!$B$5:$B$54)</f>
        <v/>
      </c>
      <c r="R10" s="21">
        <f>Q10+ROW()/100000</f>
        <v/>
      </c>
      <c r="T10" s="52">
        <f>INDEX($P$4:$P$33,MATCH(V10,$R$4:$R$33,0))</f>
        <v/>
      </c>
      <c r="U10" s="52">
        <f>INDEX($Q$4:$Q$33,MATCH(V10,$R$4:$R$33,0))</f>
        <v/>
      </c>
      <c r="V10" s="21">
        <f>LARGE($R$4:$R$33,7)</f>
        <v/>
      </c>
    </row>
    <row r="11">
      <c r="A11" s="52" t="inlineStr">
        <is>
          <t>Beginner I</t>
        </is>
      </c>
      <c r="B11" s="52">
        <f>COUNTIF('Aina Triyana Anggraini'!$D$5:$D$54,$A11)+COUNTIF('Aldi Suryadinata'!$D$5:$D$54,$A11)+COUNTIF('Asyahlan Hielmy'!$D$5:$D$54,$A11)+COUNTIF('Asyira Nur Haida'!$D$5:$D$54,$A11)+COUNTIF('Bayu Rizki Alfarizi'!$D$5:$D$54,$A11)+COUNTIF('Chandanie Nely Agustin'!$D$5:$D$54,$A11)+COUNTIF('Dida Zein Risty'!$D$5:$D$54,$A11)+COUNTIF('Fadil Rijatul Haq'!$D$5:$D$54,$A11)+COUNTIF('Faega Fitriani Dwi Putri'!$D$5:$D$54,$A11)+COUNTIF('Fajri Rizki Robbani'!$D$5:$D$54,$A11)+COUNTIF('Fakhri Safrudin Sopandi'!$D$5:$D$54,$A11)+COUNTIF('Moh. Rizky Nugraha'!$D$5:$D$54,$A11)+COUNTIF('Muhammad Akbar Putra'!$D$5:$D$54,$A11)+COUNTIF('Muhammad Hafidz Ramadhan'!$D$5:$D$54,$A11)+COUNTIF('Muhammad Lutfhi Mubarrok'!$D$5:$D$54,$A11)+COUNTIF('Muhammad Nadhira Shafar'!$D$5:$D$54,$A11)+COUNTIF('Muhammad Rafi Fakhrul Aiman'!$D$5:$D$54,$A11)+COUNTIF('Muhammad Reyvin Aryaguna'!$D$5:$D$54,$A11)+COUNTIF('Nadzar Akbar Subagja'!$D$5:$D$54,$A11)+COUNTIF('Najwan Muhammad Ghalib'!$D$5:$D$54,$A11)+COUNTIF('Nia Rizkiyanti'!$D$5:$D$54,$A11)+COUNTIF('Nur Ainillah Nabawi'!$D$5:$D$54,$A11)+COUNTIF('Nurul Khairunnissa'!$D$5:$D$54,$A11)+COUNTIF('Putri Maharani'!$D$5:$D$54,$A11)+COUNTIF('Rika Kartika'!$D$5:$D$54,$A11)+COUNTIF('Riva Nur Fathiya Safitri'!$D$5:$D$54,$A11)+COUNTIF('Shintia Nur Fadillah'!$D$5:$D$54,$A11)+COUNTIF('Sinta Faoziah'!$D$5:$D$54,$A11)+COUNTIF('Tiara Anastasya Gumilar'!$D$5:$D$54,$A11)+COUNTIF('Tiara Maelani'!$D$5:$D$54,$A11)</f>
        <v/>
      </c>
      <c r="G11" s="52" t="inlineStr">
        <is>
          <t>Sudah</t>
        </is>
      </c>
      <c r="H11" s="52">
        <f>COUNTIF('Aina Triyana Anggraini'!$G$5:$G$54,$G11)+COUNTIF('Aldi Suryadinata'!$G$5:$G$54,$G11)+COUNTIF('Asyahlan Hielmy'!$G$5:$G$54,$G11)+COUNTIF('Asyira Nur Haida'!$G$5:$G$54,$G11)+COUNTIF('Bayu Rizki Alfarizi'!$G$5:$G$54,$G11)+COUNTIF('Chandanie Nely Agustin'!$G$5:$G$54,$G11)+COUNTIF('Dida Zein Risty'!$G$5:$G$54,$G11)+COUNTIF('Fadil Rijatul Haq'!$G$5:$G$54,$G11)+COUNTIF('Faega Fitriani Dwi Putri'!$G$5:$G$54,$G11)+COUNTIF('Fajri Rizki Robbani'!$G$5:$G$54,$G11)+COUNTIF('Fakhri Safrudin Sopandi'!$G$5:$G$54,$G11)+COUNTIF('Moh. Rizky Nugraha'!$G$5:$G$54,$G11)+COUNTIF('Muhammad Akbar Putra'!$G$5:$G$54,$G11)+COUNTIF('Muhammad Hafidz Ramadhan'!$G$5:$G$54,$G11)+COUNTIF('Muhammad Lutfhi Mubarrok'!$G$5:$G$54,$G11)+COUNTIF('Muhammad Nadhira Shafar'!$G$5:$G$54,$G11)+COUNTIF('Muhammad Rafi Fakhrul Aiman'!$G$5:$G$54,$G11)+COUNTIF('Muhammad Reyvin Aryaguna'!$G$5:$G$54,$G11)+COUNTIF('Nadzar Akbar Subagja'!$G$5:$G$54,$G11)+COUNTIF('Najwan Muhammad Ghalib'!$G$5:$G$54,$G11)+COUNTIF('Nia Rizkiyanti'!$G$5:$G$54,$G11)+COUNTIF('Nur Ainillah Nabawi'!$G$5:$G$54,$G11)+COUNTIF('Nurul Khairunnissa'!$G$5:$G$54,$G11)+COUNTIF('Putri Maharani'!$G$5:$G$54,$G11)+COUNTIF('Rika Kartika'!$G$5:$G$54,$G11)+COUNTIF('Riva Nur Fathiya Safitri'!$G$5:$G$54,$G11)+COUNTIF('Shintia Nur Fadillah'!$G$5:$G$54,$G11)+COUNTIF('Sinta Faoziah'!$G$5:$G$54,$G11)+COUNTIF('Tiara Anastasya Gumilar'!$G$5:$G$54,$G11)+COUNTIF('Tiara Maelani'!$G$5:$G$54,$G11)</f>
        <v/>
      </c>
      <c r="M11" s="52" t="inlineStr">
        <is>
          <t>Hotel Neo Dipatiukur</t>
        </is>
      </c>
      <c r="N11" s="52">
        <f>COUNTIF('Aina Triyana Anggraini'!$N$6:$N$50,$M11)+COUNTIF('Aldi Suryadinata'!$N$6:$N$50,$M11)+COUNTIF('Asyahlan Hielmy'!$N$6:$N$50,$M11)+COUNTIF('Asyira Nur Haida'!$N$6:$N$50,$M11)+COUNTIF('Bayu Rizki Alfarizi'!$N$6:$N$50,$M11)+COUNTIF('Chandanie Nely Agustin'!$N$6:$N$50,$M11)+COUNTIF('Dida Zein Risty'!$N$6:$N$50,$M11)+COUNTIF('Fadil Rijatul Haq'!$N$6:$N$50,$M11)+COUNTIF('Faega Fitriani Dwi Putri'!$N$6:$N$50,$M11)+COUNTIF('Fajri Rizki Robbani'!$N$6:$N$50,$M11)+COUNTIF('Fakhri Safrudin Sopandi'!$N$6:$N$50,$M11)+COUNTIF('Moh. Rizky Nugraha'!$N$6:$N$50,$M11)+COUNTIF('Muhammad Akbar Putra'!$N$6:$N$50,$M11)+COUNTIF('Muhammad Hafidz Ramadhan'!$N$6:$N$50,$M11)+COUNTIF('Muhammad Lutfhi Mubarrok'!$N$6:$N$50,$M11)+COUNTIF('Muhammad Nadhira Shafar'!$N$6:$N$50,$M11)+COUNTIF('Muhammad Rafi Fakhrul Aiman'!$N$6:$N$50,$M11)+COUNTIF('Muhammad Reyvin Aryaguna'!$N$6:$N$50,$M11)+COUNTIF('Nadzar Akbar Subagja'!$N$6:$N$50,$M11)+COUNTIF('Najwan Muhammad Ghalib'!$N$6:$N$50,$M11)+COUNTIF('Nia Rizkiyanti'!$N$6:$N$50,$M11)+COUNTIF('Nur Ainillah Nabawi'!$N$6:$N$50,$M11)+COUNTIF('Nurul Khairunnissa'!$N$6:$N$50,$M11)+COUNTIF('Putri Maharani'!$N$6:$N$50,$M11)+COUNTIF('Rika Kartika'!$N$6:$N$50,$M11)+COUNTIF('Riva Nur Fathiya Safitri'!$N$6:$N$50,$M11)+COUNTIF('Shintia Nur Fadillah'!$N$6:$N$50,$M11)+COUNTIF('Sinta Faoziah'!$N$6:$N$50,$M11)+COUNTIF('Tiara Anastasya Gumilar'!$N$6:$N$50,$M11)+COUNTIF('Tiara Maelani'!$N$6:$N$50,$M11)</f>
        <v/>
      </c>
      <c r="P11" s="52" t="inlineStr">
        <is>
          <t>Fadil Rijatul Haq</t>
        </is>
      </c>
      <c r="Q11" s="52">
        <f>COUNTA('Fadil Rijatul Haq'!$B$5:$B$54)</f>
        <v/>
      </c>
      <c r="R11" s="21">
        <f>Q11+ROW()/100000</f>
        <v/>
      </c>
      <c r="T11" s="52">
        <f>INDEX($P$4:$P$33,MATCH(V11,$R$4:$R$33,0))</f>
        <v/>
      </c>
      <c r="U11" s="52">
        <f>INDEX($Q$4:$Q$33,MATCH(V11,$R$4:$R$33,0))</f>
        <v/>
      </c>
      <c r="V11" s="21">
        <f>LARGE($R$4:$R$33,8)</f>
        <v/>
      </c>
    </row>
    <row r="12">
      <c r="A12" s="52" t="inlineStr">
        <is>
          <t>Beginner II</t>
        </is>
      </c>
      <c r="B12" s="52">
        <f>COUNTIF('Aina Triyana Anggraini'!$D$5:$D$54,$A12)+COUNTIF('Aldi Suryadinata'!$D$5:$D$54,$A12)+COUNTIF('Asyahlan Hielmy'!$D$5:$D$54,$A12)+COUNTIF('Asyira Nur Haida'!$D$5:$D$54,$A12)+COUNTIF('Bayu Rizki Alfarizi'!$D$5:$D$54,$A12)+COUNTIF('Chandanie Nely Agustin'!$D$5:$D$54,$A12)+COUNTIF('Dida Zein Risty'!$D$5:$D$54,$A12)+COUNTIF('Fadil Rijatul Haq'!$D$5:$D$54,$A12)+COUNTIF('Faega Fitriani Dwi Putri'!$D$5:$D$54,$A12)+COUNTIF('Fajri Rizki Robbani'!$D$5:$D$54,$A12)+COUNTIF('Fakhri Safrudin Sopandi'!$D$5:$D$54,$A12)+COUNTIF('Moh. Rizky Nugraha'!$D$5:$D$54,$A12)+COUNTIF('Muhammad Akbar Putra'!$D$5:$D$54,$A12)+COUNTIF('Muhammad Hafidz Ramadhan'!$D$5:$D$54,$A12)+COUNTIF('Muhammad Lutfhi Mubarrok'!$D$5:$D$54,$A12)+COUNTIF('Muhammad Nadhira Shafar'!$D$5:$D$54,$A12)+COUNTIF('Muhammad Rafi Fakhrul Aiman'!$D$5:$D$54,$A12)+COUNTIF('Muhammad Reyvin Aryaguna'!$D$5:$D$54,$A12)+COUNTIF('Nadzar Akbar Subagja'!$D$5:$D$54,$A12)+COUNTIF('Najwan Muhammad Ghalib'!$D$5:$D$54,$A12)+COUNTIF('Nia Rizkiyanti'!$D$5:$D$54,$A12)+COUNTIF('Nur Ainillah Nabawi'!$D$5:$D$54,$A12)+COUNTIF('Nurul Khairunnissa'!$D$5:$D$54,$A12)+COUNTIF('Putri Maharani'!$D$5:$D$54,$A12)+COUNTIF('Rika Kartika'!$D$5:$D$54,$A12)+COUNTIF('Riva Nur Fathiya Safitri'!$D$5:$D$54,$A12)+COUNTIF('Shintia Nur Fadillah'!$D$5:$D$54,$A12)+COUNTIF('Sinta Faoziah'!$D$5:$D$54,$A12)+COUNTIF('Tiara Anastasya Gumilar'!$D$5:$D$54,$A12)+COUNTIF('Tiara Maelani'!$D$5:$D$54,$A12)</f>
        <v/>
      </c>
      <c r="G12" s="52" t="inlineStr">
        <is>
          <t>Belum</t>
        </is>
      </c>
      <c r="H12" s="52">
        <f>COUNTIF('Aina Triyana Anggraini'!$G$5:$G$54,$G12)+COUNTIF('Aldi Suryadinata'!$G$5:$G$54,$G12)+COUNTIF('Asyahlan Hielmy'!$G$5:$G$54,$G12)+COUNTIF('Asyira Nur Haida'!$G$5:$G$54,$G12)+COUNTIF('Bayu Rizki Alfarizi'!$G$5:$G$54,$G12)+COUNTIF('Chandanie Nely Agustin'!$G$5:$G$54,$G12)+COUNTIF('Dida Zein Risty'!$G$5:$G$54,$G12)+COUNTIF('Fadil Rijatul Haq'!$G$5:$G$54,$G12)+COUNTIF('Faega Fitriani Dwi Putri'!$G$5:$G$54,$G12)+COUNTIF('Fajri Rizki Robbani'!$G$5:$G$54,$G12)+COUNTIF('Fakhri Safrudin Sopandi'!$G$5:$G$54,$G12)+COUNTIF('Moh. Rizky Nugraha'!$G$5:$G$54,$G12)+COUNTIF('Muhammad Akbar Putra'!$G$5:$G$54,$G12)+COUNTIF('Muhammad Hafidz Ramadhan'!$G$5:$G$54,$G12)+COUNTIF('Muhammad Lutfhi Mubarrok'!$G$5:$G$54,$G12)+COUNTIF('Muhammad Nadhira Shafar'!$G$5:$G$54,$G12)+COUNTIF('Muhammad Rafi Fakhrul Aiman'!$G$5:$G$54,$G12)+COUNTIF('Muhammad Reyvin Aryaguna'!$G$5:$G$54,$G12)+COUNTIF('Nadzar Akbar Subagja'!$G$5:$G$54,$G12)+COUNTIF('Najwan Muhammad Ghalib'!$G$5:$G$54,$G12)+COUNTIF('Nia Rizkiyanti'!$G$5:$G$54,$G12)+COUNTIF('Nur Ainillah Nabawi'!$G$5:$G$54,$G12)+COUNTIF('Nurul Khairunnissa'!$G$5:$G$54,$G12)+COUNTIF('Putri Maharani'!$G$5:$G$54,$G12)+COUNTIF('Rika Kartika'!$G$5:$G$54,$G12)+COUNTIF('Riva Nur Fathiya Safitri'!$G$5:$G$54,$G12)+COUNTIF('Shintia Nur Fadillah'!$G$5:$G$54,$G12)+COUNTIF('Sinta Faoziah'!$G$5:$G$54,$G12)+COUNTIF('Tiara Anastasya Gumilar'!$G$5:$G$54,$G12)+COUNTIF('Tiara Maelani'!$G$5:$G$54,$G12)</f>
        <v/>
      </c>
      <c r="M12" s="52" t="inlineStr">
        <is>
          <t>Hotel Oakwood Merdeka Bandung</t>
        </is>
      </c>
      <c r="N12" s="52">
        <f>COUNTIF('Aina Triyana Anggraini'!$N$6:$N$50,$M12)+COUNTIF('Aldi Suryadinata'!$N$6:$N$50,$M12)+COUNTIF('Asyahlan Hielmy'!$N$6:$N$50,$M12)+COUNTIF('Asyira Nur Haida'!$N$6:$N$50,$M12)+COUNTIF('Bayu Rizki Alfarizi'!$N$6:$N$50,$M12)+COUNTIF('Chandanie Nely Agustin'!$N$6:$N$50,$M12)+COUNTIF('Dida Zein Risty'!$N$6:$N$50,$M12)+COUNTIF('Fadil Rijatul Haq'!$N$6:$N$50,$M12)+COUNTIF('Faega Fitriani Dwi Putri'!$N$6:$N$50,$M12)+COUNTIF('Fajri Rizki Robbani'!$N$6:$N$50,$M12)+COUNTIF('Fakhri Safrudin Sopandi'!$N$6:$N$50,$M12)+COUNTIF('Moh. Rizky Nugraha'!$N$6:$N$50,$M12)+COUNTIF('Muhammad Akbar Putra'!$N$6:$N$50,$M12)+COUNTIF('Muhammad Hafidz Ramadhan'!$N$6:$N$50,$M12)+COUNTIF('Muhammad Lutfhi Mubarrok'!$N$6:$N$50,$M12)+COUNTIF('Muhammad Nadhira Shafar'!$N$6:$N$50,$M12)+COUNTIF('Muhammad Rafi Fakhrul Aiman'!$N$6:$N$50,$M12)+COUNTIF('Muhammad Reyvin Aryaguna'!$N$6:$N$50,$M12)+COUNTIF('Nadzar Akbar Subagja'!$N$6:$N$50,$M12)+COUNTIF('Najwan Muhammad Ghalib'!$N$6:$N$50,$M12)+COUNTIF('Nia Rizkiyanti'!$N$6:$N$50,$M12)+COUNTIF('Nur Ainillah Nabawi'!$N$6:$N$50,$M12)+COUNTIF('Nurul Khairunnissa'!$N$6:$N$50,$M12)+COUNTIF('Putri Maharani'!$N$6:$N$50,$M12)+COUNTIF('Rika Kartika'!$N$6:$N$50,$M12)+COUNTIF('Riva Nur Fathiya Safitri'!$N$6:$N$50,$M12)+COUNTIF('Shintia Nur Fadillah'!$N$6:$N$50,$M12)+COUNTIF('Sinta Faoziah'!$N$6:$N$50,$M12)+COUNTIF('Tiara Anastasya Gumilar'!$N$6:$N$50,$M12)+COUNTIF('Tiara Maelani'!$N$6:$N$50,$M12)</f>
        <v/>
      </c>
      <c r="P12" s="52" t="inlineStr">
        <is>
          <t>Faega Fitriani Dwi Putri</t>
        </is>
      </c>
      <c r="Q12" s="52">
        <f>COUNTA('Faega Fitriani Dwi Putri'!$B$5:$B$54)</f>
        <v/>
      </c>
      <c r="R12" s="21">
        <f>Q12+ROW()/100000</f>
        <v/>
      </c>
    </row>
    <row r="13">
      <c r="A13" s="52" t="inlineStr">
        <is>
          <t>Beginner III</t>
        </is>
      </c>
      <c r="B13" s="52">
        <f>COUNTIF('Aina Triyana Anggraini'!$D$5:$D$54,$A13)+COUNTIF('Aldi Suryadinata'!$D$5:$D$54,$A13)+COUNTIF('Asyahlan Hielmy'!$D$5:$D$54,$A13)+COUNTIF('Asyira Nur Haida'!$D$5:$D$54,$A13)+COUNTIF('Bayu Rizki Alfarizi'!$D$5:$D$54,$A13)+COUNTIF('Chandanie Nely Agustin'!$D$5:$D$54,$A13)+COUNTIF('Dida Zein Risty'!$D$5:$D$54,$A13)+COUNTIF('Fadil Rijatul Haq'!$D$5:$D$54,$A13)+COUNTIF('Faega Fitriani Dwi Putri'!$D$5:$D$54,$A13)+COUNTIF('Fajri Rizki Robbani'!$D$5:$D$54,$A13)+COUNTIF('Fakhri Safrudin Sopandi'!$D$5:$D$54,$A13)+COUNTIF('Moh. Rizky Nugraha'!$D$5:$D$54,$A13)+COUNTIF('Muhammad Akbar Putra'!$D$5:$D$54,$A13)+COUNTIF('Muhammad Hafidz Ramadhan'!$D$5:$D$54,$A13)+COUNTIF('Muhammad Lutfhi Mubarrok'!$D$5:$D$54,$A13)+COUNTIF('Muhammad Nadhira Shafar'!$D$5:$D$54,$A13)+COUNTIF('Muhammad Rafi Fakhrul Aiman'!$D$5:$D$54,$A13)+COUNTIF('Muhammad Reyvin Aryaguna'!$D$5:$D$54,$A13)+COUNTIF('Nadzar Akbar Subagja'!$D$5:$D$54,$A13)+COUNTIF('Najwan Muhammad Ghalib'!$D$5:$D$54,$A13)+COUNTIF('Nia Rizkiyanti'!$D$5:$D$54,$A13)+COUNTIF('Nur Ainillah Nabawi'!$D$5:$D$54,$A13)+COUNTIF('Nurul Khairunnissa'!$D$5:$D$54,$A13)+COUNTIF('Putri Maharani'!$D$5:$D$54,$A13)+COUNTIF('Rika Kartika'!$D$5:$D$54,$A13)+COUNTIF('Riva Nur Fathiya Safitri'!$D$5:$D$54,$A13)+COUNTIF('Shintia Nur Fadillah'!$D$5:$D$54,$A13)+COUNTIF('Sinta Faoziah'!$D$5:$D$54,$A13)+COUNTIF('Tiara Anastasya Gumilar'!$D$5:$D$54,$A13)+COUNTIF('Tiara Maelani'!$D$5:$D$54,$A13)</f>
        <v/>
      </c>
      <c r="G13" s="53" t="inlineStr">
        <is>
          <t>(Belum diisi)</t>
        </is>
      </c>
      <c r="H13" s="52">
        <f>B21-SUM(H11:H12)</f>
        <v/>
      </c>
      <c r="M13" s="52" t="inlineStr">
        <is>
          <t>Hotel Point C Hotel Bandung</t>
        </is>
      </c>
      <c r="N13" s="52">
        <f>COUNTIF('Aina Triyana Anggraini'!$N$6:$N$50,$M13)+COUNTIF('Aldi Suryadinata'!$N$6:$N$50,$M13)+COUNTIF('Asyahlan Hielmy'!$N$6:$N$50,$M13)+COUNTIF('Asyira Nur Haida'!$N$6:$N$50,$M13)+COUNTIF('Bayu Rizki Alfarizi'!$N$6:$N$50,$M13)+COUNTIF('Chandanie Nely Agustin'!$N$6:$N$50,$M13)+COUNTIF('Dida Zein Risty'!$N$6:$N$50,$M13)+COUNTIF('Fadil Rijatul Haq'!$N$6:$N$50,$M13)+COUNTIF('Faega Fitriani Dwi Putri'!$N$6:$N$50,$M13)+COUNTIF('Fajri Rizki Robbani'!$N$6:$N$50,$M13)+COUNTIF('Fakhri Safrudin Sopandi'!$N$6:$N$50,$M13)+COUNTIF('Moh. Rizky Nugraha'!$N$6:$N$50,$M13)+COUNTIF('Muhammad Akbar Putra'!$N$6:$N$50,$M13)+COUNTIF('Muhammad Hafidz Ramadhan'!$N$6:$N$50,$M13)+COUNTIF('Muhammad Lutfhi Mubarrok'!$N$6:$N$50,$M13)+COUNTIF('Muhammad Nadhira Shafar'!$N$6:$N$50,$M13)+COUNTIF('Muhammad Rafi Fakhrul Aiman'!$N$6:$N$50,$M13)+COUNTIF('Muhammad Reyvin Aryaguna'!$N$6:$N$50,$M13)+COUNTIF('Nadzar Akbar Subagja'!$N$6:$N$50,$M13)+COUNTIF('Najwan Muhammad Ghalib'!$N$6:$N$50,$M13)+COUNTIF('Nia Rizkiyanti'!$N$6:$N$50,$M13)+COUNTIF('Nur Ainillah Nabawi'!$N$6:$N$50,$M13)+COUNTIF('Nurul Khairunnissa'!$N$6:$N$50,$M13)+COUNTIF('Putri Maharani'!$N$6:$N$50,$M13)+COUNTIF('Rika Kartika'!$N$6:$N$50,$M13)+COUNTIF('Riva Nur Fathiya Safitri'!$N$6:$N$50,$M13)+COUNTIF('Shintia Nur Fadillah'!$N$6:$N$50,$M13)+COUNTIF('Sinta Faoziah'!$N$6:$N$50,$M13)+COUNTIF('Tiara Anastasya Gumilar'!$N$6:$N$50,$M13)+COUNTIF('Tiara Maelani'!$N$6:$N$50,$M13)</f>
        <v/>
      </c>
      <c r="P13" s="52" t="inlineStr">
        <is>
          <t>Fajri Rizki Robbani</t>
        </is>
      </c>
      <c r="Q13" s="52">
        <f>COUNTA('Fajri Rizki Robbani'!$B$5:$B$54)</f>
        <v/>
      </c>
      <c r="R13" s="21">
        <f>Q13+ROW()/100000</f>
        <v/>
      </c>
    </row>
    <row r="14">
      <c r="A14" s="52" t="inlineStr">
        <is>
          <t>Intermediate I</t>
        </is>
      </c>
      <c r="B14" s="52">
        <f>COUNTIF('Aina Triyana Anggraini'!$D$5:$D$54,$A14)+COUNTIF('Aldi Suryadinata'!$D$5:$D$54,$A14)+COUNTIF('Asyahlan Hielmy'!$D$5:$D$54,$A14)+COUNTIF('Asyira Nur Haida'!$D$5:$D$54,$A14)+COUNTIF('Bayu Rizki Alfarizi'!$D$5:$D$54,$A14)+COUNTIF('Chandanie Nely Agustin'!$D$5:$D$54,$A14)+COUNTIF('Dida Zein Risty'!$D$5:$D$54,$A14)+COUNTIF('Fadil Rijatul Haq'!$D$5:$D$54,$A14)+COUNTIF('Faega Fitriani Dwi Putri'!$D$5:$D$54,$A14)+COUNTIF('Fajri Rizki Robbani'!$D$5:$D$54,$A14)+COUNTIF('Fakhri Safrudin Sopandi'!$D$5:$D$54,$A14)+COUNTIF('Moh. Rizky Nugraha'!$D$5:$D$54,$A14)+COUNTIF('Muhammad Akbar Putra'!$D$5:$D$54,$A14)+COUNTIF('Muhammad Hafidz Ramadhan'!$D$5:$D$54,$A14)+COUNTIF('Muhammad Lutfhi Mubarrok'!$D$5:$D$54,$A14)+COUNTIF('Muhammad Nadhira Shafar'!$D$5:$D$54,$A14)+COUNTIF('Muhammad Rafi Fakhrul Aiman'!$D$5:$D$54,$A14)+COUNTIF('Muhammad Reyvin Aryaguna'!$D$5:$D$54,$A14)+COUNTIF('Nadzar Akbar Subagja'!$D$5:$D$54,$A14)+COUNTIF('Najwan Muhammad Ghalib'!$D$5:$D$54,$A14)+COUNTIF('Nia Rizkiyanti'!$D$5:$D$54,$A14)+COUNTIF('Nur Ainillah Nabawi'!$D$5:$D$54,$A14)+COUNTIF('Nurul Khairunnissa'!$D$5:$D$54,$A14)+COUNTIF('Putri Maharani'!$D$5:$D$54,$A14)+COUNTIF('Rika Kartika'!$D$5:$D$54,$A14)+COUNTIF('Riva Nur Fathiya Safitri'!$D$5:$D$54,$A14)+COUNTIF('Shintia Nur Fadillah'!$D$5:$D$54,$A14)+COUNTIF('Sinta Faoziah'!$D$5:$D$54,$A14)+COUNTIF('Tiara Anastasya Gumilar'!$D$5:$D$54,$A14)+COUNTIF('Tiara Maelani'!$D$5:$D$54,$A14)</f>
        <v/>
      </c>
      <c r="M14" s="52" t="inlineStr">
        <is>
          <t>Hotel Savoy Homan</t>
        </is>
      </c>
      <c r="N14" s="52">
        <f>COUNTIF('Aina Triyana Anggraini'!$N$6:$N$50,$M14)+COUNTIF('Aldi Suryadinata'!$N$6:$N$50,$M14)+COUNTIF('Asyahlan Hielmy'!$N$6:$N$50,$M14)+COUNTIF('Asyira Nur Haida'!$N$6:$N$50,$M14)+COUNTIF('Bayu Rizki Alfarizi'!$N$6:$N$50,$M14)+COUNTIF('Chandanie Nely Agustin'!$N$6:$N$50,$M14)+COUNTIF('Dida Zein Risty'!$N$6:$N$50,$M14)+COUNTIF('Fadil Rijatul Haq'!$N$6:$N$50,$M14)+COUNTIF('Faega Fitriani Dwi Putri'!$N$6:$N$50,$M14)+COUNTIF('Fajri Rizki Robbani'!$N$6:$N$50,$M14)+COUNTIF('Fakhri Safrudin Sopandi'!$N$6:$N$50,$M14)+COUNTIF('Moh. Rizky Nugraha'!$N$6:$N$50,$M14)+COUNTIF('Muhammad Akbar Putra'!$N$6:$N$50,$M14)+COUNTIF('Muhammad Hafidz Ramadhan'!$N$6:$N$50,$M14)+COUNTIF('Muhammad Lutfhi Mubarrok'!$N$6:$N$50,$M14)+COUNTIF('Muhammad Nadhira Shafar'!$N$6:$N$50,$M14)+COUNTIF('Muhammad Rafi Fakhrul Aiman'!$N$6:$N$50,$M14)+COUNTIF('Muhammad Reyvin Aryaguna'!$N$6:$N$50,$M14)+COUNTIF('Nadzar Akbar Subagja'!$N$6:$N$50,$M14)+COUNTIF('Najwan Muhammad Ghalib'!$N$6:$N$50,$M14)+COUNTIF('Nia Rizkiyanti'!$N$6:$N$50,$M14)+COUNTIF('Nur Ainillah Nabawi'!$N$6:$N$50,$M14)+COUNTIF('Nurul Khairunnissa'!$N$6:$N$50,$M14)+COUNTIF('Putri Maharani'!$N$6:$N$50,$M14)+COUNTIF('Rika Kartika'!$N$6:$N$50,$M14)+COUNTIF('Riva Nur Fathiya Safitri'!$N$6:$N$50,$M14)+COUNTIF('Shintia Nur Fadillah'!$N$6:$N$50,$M14)+COUNTIF('Sinta Faoziah'!$N$6:$N$50,$M14)+COUNTIF('Tiara Anastasya Gumilar'!$N$6:$N$50,$M14)+COUNTIF('Tiara Maelani'!$N$6:$N$50,$M14)</f>
        <v/>
      </c>
      <c r="P14" s="52" t="inlineStr">
        <is>
          <t>Fakhri Safrudin Sopandi</t>
        </is>
      </c>
      <c r="Q14" s="52">
        <f>COUNTA('Fakhri Safrudin Sopandi'!$B$5:$B$54)</f>
        <v/>
      </c>
      <c r="R14" s="21">
        <f>Q14+ROW()/100000</f>
        <v/>
      </c>
    </row>
    <row r="15">
      <c r="A15" s="52" t="inlineStr">
        <is>
          <t>Intermediate II</t>
        </is>
      </c>
      <c r="B15" s="52">
        <f>COUNTIF('Aina Triyana Anggraini'!$D$5:$D$54,$A15)+COUNTIF('Aldi Suryadinata'!$D$5:$D$54,$A15)+COUNTIF('Asyahlan Hielmy'!$D$5:$D$54,$A15)+COUNTIF('Asyira Nur Haida'!$D$5:$D$54,$A15)+COUNTIF('Bayu Rizki Alfarizi'!$D$5:$D$54,$A15)+COUNTIF('Chandanie Nely Agustin'!$D$5:$D$54,$A15)+COUNTIF('Dida Zein Risty'!$D$5:$D$54,$A15)+COUNTIF('Fadil Rijatul Haq'!$D$5:$D$54,$A15)+COUNTIF('Faega Fitriani Dwi Putri'!$D$5:$D$54,$A15)+COUNTIF('Fajri Rizki Robbani'!$D$5:$D$54,$A15)+COUNTIF('Fakhri Safrudin Sopandi'!$D$5:$D$54,$A15)+COUNTIF('Moh. Rizky Nugraha'!$D$5:$D$54,$A15)+COUNTIF('Muhammad Akbar Putra'!$D$5:$D$54,$A15)+COUNTIF('Muhammad Hafidz Ramadhan'!$D$5:$D$54,$A15)+COUNTIF('Muhammad Lutfhi Mubarrok'!$D$5:$D$54,$A15)+COUNTIF('Muhammad Nadhira Shafar'!$D$5:$D$54,$A15)+COUNTIF('Muhammad Rafi Fakhrul Aiman'!$D$5:$D$54,$A15)+COUNTIF('Muhammad Reyvin Aryaguna'!$D$5:$D$54,$A15)+COUNTIF('Nadzar Akbar Subagja'!$D$5:$D$54,$A15)+COUNTIF('Najwan Muhammad Ghalib'!$D$5:$D$54,$A15)+COUNTIF('Nia Rizkiyanti'!$D$5:$D$54,$A15)+COUNTIF('Nur Ainillah Nabawi'!$D$5:$D$54,$A15)+COUNTIF('Nurul Khairunnissa'!$D$5:$D$54,$A15)+COUNTIF('Putri Maharani'!$D$5:$D$54,$A15)+COUNTIF('Rika Kartika'!$D$5:$D$54,$A15)+COUNTIF('Riva Nur Fathiya Safitri'!$D$5:$D$54,$A15)+COUNTIF('Shintia Nur Fadillah'!$D$5:$D$54,$A15)+COUNTIF('Sinta Faoziah'!$D$5:$D$54,$A15)+COUNTIF('Tiara Anastasya Gumilar'!$D$5:$D$54,$A15)+COUNTIF('Tiara Maelani'!$D$5:$D$54,$A15)</f>
        <v/>
      </c>
      <c r="M15" s="52" t="inlineStr">
        <is>
          <t>Kolam Renang Buah Batu Regency</t>
        </is>
      </c>
      <c r="N15" s="52">
        <f>COUNTIF('Aina Triyana Anggraini'!$N$6:$N$50,$M15)+COUNTIF('Aldi Suryadinata'!$N$6:$N$50,$M15)+COUNTIF('Asyahlan Hielmy'!$N$6:$N$50,$M15)+COUNTIF('Asyira Nur Haida'!$N$6:$N$50,$M15)+COUNTIF('Bayu Rizki Alfarizi'!$N$6:$N$50,$M15)+COUNTIF('Chandanie Nely Agustin'!$N$6:$N$50,$M15)+COUNTIF('Dida Zein Risty'!$N$6:$N$50,$M15)+COUNTIF('Fadil Rijatul Haq'!$N$6:$N$50,$M15)+COUNTIF('Faega Fitriani Dwi Putri'!$N$6:$N$50,$M15)+COUNTIF('Fajri Rizki Robbani'!$N$6:$N$50,$M15)+COUNTIF('Fakhri Safrudin Sopandi'!$N$6:$N$50,$M15)+COUNTIF('Moh. Rizky Nugraha'!$N$6:$N$50,$M15)+COUNTIF('Muhammad Akbar Putra'!$N$6:$N$50,$M15)+COUNTIF('Muhammad Hafidz Ramadhan'!$N$6:$N$50,$M15)+COUNTIF('Muhammad Lutfhi Mubarrok'!$N$6:$N$50,$M15)+COUNTIF('Muhammad Nadhira Shafar'!$N$6:$N$50,$M15)+COUNTIF('Muhammad Rafi Fakhrul Aiman'!$N$6:$N$50,$M15)+COUNTIF('Muhammad Reyvin Aryaguna'!$N$6:$N$50,$M15)+COUNTIF('Nadzar Akbar Subagja'!$N$6:$N$50,$M15)+COUNTIF('Najwan Muhammad Ghalib'!$N$6:$N$50,$M15)+COUNTIF('Nia Rizkiyanti'!$N$6:$N$50,$M15)+COUNTIF('Nur Ainillah Nabawi'!$N$6:$N$50,$M15)+COUNTIF('Nurul Khairunnissa'!$N$6:$N$50,$M15)+COUNTIF('Putri Maharani'!$N$6:$N$50,$M15)+COUNTIF('Rika Kartika'!$N$6:$N$50,$M15)+COUNTIF('Riva Nur Fathiya Safitri'!$N$6:$N$50,$M15)+COUNTIF('Shintia Nur Fadillah'!$N$6:$N$50,$M15)+COUNTIF('Sinta Faoziah'!$N$6:$N$50,$M15)+COUNTIF('Tiara Anastasya Gumilar'!$N$6:$N$50,$M15)+COUNTIF('Tiara Maelani'!$N$6:$N$50,$M15)</f>
        <v/>
      </c>
      <c r="P15" s="52" t="inlineStr">
        <is>
          <t>Moh. Rizky Nugraha</t>
        </is>
      </c>
      <c r="Q15" s="52">
        <f>COUNTA('Moh. Rizky Nugraha'!$B$5:$B$54)</f>
        <v/>
      </c>
      <c r="R15" s="21">
        <f>Q15+ROW()/100000</f>
        <v/>
      </c>
    </row>
    <row r="16">
      <c r="A16" s="52" t="inlineStr">
        <is>
          <t>Advanced I</t>
        </is>
      </c>
      <c r="B16" s="52">
        <f>COUNTIF('Aina Triyana Anggraini'!$D$5:$D$54,$A16)+COUNTIF('Aldi Suryadinata'!$D$5:$D$54,$A16)+COUNTIF('Asyahlan Hielmy'!$D$5:$D$54,$A16)+COUNTIF('Asyira Nur Haida'!$D$5:$D$54,$A16)+COUNTIF('Bayu Rizki Alfarizi'!$D$5:$D$54,$A16)+COUNTIF('Chandanie Nely Agustin'!$D$5:$D$54,$A16)+COUNTIF('Dida Zein Risty'!$D$5:$D$54,$A16)+COUNTIF('Fadil Rijatul Haq'!$D$5:$D$54,$A16)+COUNTIF('Faega Fitriani Dwi Putri'!$D$5:$D$54,$A16)+COUNTIF('Fajri Rizki Robbani'!$D$5:$D$54,$A16)+COUNTIF('Fakhri Safrudin Sopandi'!$D$5:$D$54,$A16)+COUNTIF('Moh. Rizky Nugraha'!$D$5:$D$54,$A16)+COUNTIF('Muhammad Akbar Putra'!$D$5:$D$54,$A16)+COUNTIF('Muhammad Hafidz Ramadhan'!$D$5:$D$54,$A16)+COUNTIF('Muhammad Lutfhi Mubarrok'!$D$5:$D$54,$A16)+COUNTIF('Muhammad Nadhira Shafar'!$D$5:$D$54,$A16)+COUNTIF('Muhammad Rafi Fakhrul Aiman'!$D$5:$D$54,$A16)+COUNTIF('Muhammad Reyvin Aryaguna'!$D$5:$D$54,$A16)+COUNTIF('Nadzar Akbar Subagja'!$D$5:$D$54,$A16)+COUNTIF('Najwan Muhammad Ghalib'!$D$5:$D$54,$A16)+COUNTIF('Nia Rizkiyanti'!$D$5:$D$54,$A16)+COUNTIF('Nur Ainillah Nabawi'!$D$5:$D$54,$A16)+COUNTIF('Nurul Khairunnissa'!$D$5:$D$54,$A16)+COUNTIF('Putri Maharani'!$D$5:$D$54,$A16)+COUNTIF('Rika Kartika'!$D$5:$D$54,$A16)+COUNTIF('Riva Nur Fathiya Safitri'!$D$5:$D$54,$A16)+COUNTIF('Shintia Nur Fadillah'!$D$5:$D$54,$A16)+COUNTIF('Sinta Faoziah'!$D$5:$D$54,$A16)+COUNTIF('Tiara Anastasya Gumilar'!$D$5:$D$54,$A16)+COUNTIF('Tiara Maelani'!$D$5:$D$54,$A16)</f>
        <v/>
      </c>
      <c r="G16" s="50" t="inlineStr">
        <is>
          <t>Status</t>
        </is>
      </c>
      <c r="H16" s="50" t="inlineStr">
        <is>
          <t>Siswa</t>
        </is>
      </c>
      <c r="M16" s="52" t="inlineStr">
        <is>
          <t>Kolam Renang Bukit Cipaku</t>
        </is>
      </c>
      <c r="N16" s="52">
        <f>COUNTIF('Aina Triyana Anggraini'!$N$6:$N$50,$M16)+COUNTIF('Aldi Suryadinata'!$N$6:$N$50,$M16)+COUNTIF('Asyahlan Hielmy'!$N$6:$N$50,$M16)+COUNTIF('Asyira Nur Haida'!$N$6:$N$50,$M16)+COUNTIF('Bayu Rizki Alfarizi'!$N$6:$N$50,$M16)+COUNTIF('Chandanie Nely Agustin'!$N$6:$N$50,$M16)+COUNTIF('Dida Zein Risty'!$N$6:$N$50,$M16)+COUNTIF('Fadil Rijatul Haq'!$N$6:$N$50,$M16)+COUNTIF('Faega Fitriani Dwi Putri'!$N$6:$N$50,$M16)+COUNTIF('Fajri Rizki Robbani'!$N$6:$N$50,$M16)+COUNTIF('Fakhri Safrudin Sopandi'!$N$6:$N$50,$M16)+COUNTIF('Moh. Rizky Nugraha'!$N$6:$N$50,$M16)+COUNTIF('Muhammad Akbar Putra'!$N$6:$N$50,$M16)+COUNTIF('Muhammad Hafidz Ramadhan'!$N$6:$N$50,$M16)+COUNTIF('Muhammad Lutfhi Mubarrok'!$N$6:$N$50,$M16)+COUNTIF('Muhammad Nadhira Shafar'!$N$6:$N$50,$M16)+COUNTIF('Muhammad Rafi Fakhrul Aiman'!$N$6:$N$50,$M16)+COUNTIF('Muhammad Reyvin Aryaguna'!$N$6:$N$50,$M16)+COUNTIF('Nadzar Akbar Subagja'!$N$6:$N$50,$M16)+COUNTIF('Najwan Muhammad Ghalib'!$N$6:$N$50,$M16)+COUNTIF('Nia Rizkiyanti'!$N$6:$N$50,$M16)+COUNTIF('Nur Ainillah Nabawi'!$N$6:$N$50,$M16)+COUNTIF('Nurul Khairunnissa'!$N$6:$N$50,$M16)+COUNTIF('Putri Maharani'!$N$6:$N$50,$M16)+COUNTIF('Rika Kartika'!$N$6:$N$50,$M16)+COUNTIF('Riva Nur Fathiya Safitri'!$N$6:$N$50,$M16)+COUNTIF('Shintia Nur Fadillah'!$N$6:$N$50,$M16)+COUNTIF('Sinta Faoziah'!$N$6:$N$50,$M16)+COUNTIF('Tiara Anastasya Gumilar'!$N$6:$N$50,$M16)+COUNTIF('Tiara Maelani'!$N$6:$N$50,$M16)</f>
        <v/>
      </c>
      <c r="P16" s="52" t="inlineStr">
        <is>
          <t>Muhammad Akbar Putra</t>
        </is>
      </c>
      <c r="Q16" s="52">
        <f>COUNTA('Muhammad Akbar Putra'!$B$5:$B$54)</f>
        <v/>
      </c>
      <c r="R16" s="21">
        <f>Q16+ROW()/100000</f>
        <v/>
      </c>
    </row>
    <row r="17">
      <c r="A17" s="52" t="inlineStr">
        <is>
          <t>Advanced II</t>
        </is>
      </c>
      <c r="B17" s="52">
        <f>COUNTIF('Aina Triyana Anggraini'!$D$5:$D$54,$A17)+COUNTIF('Aldi Suryadinata'!$D$5:$D$54,$A17)+COUNTIF('Asyahlan Hielmy'!$D$5:$D$54,$A17)+COUNTIF('Asyira Nur Haida'!$D$5:$D$54,$A17)+COUNTIF('Bayu Rizki Alfarizi'!$D$5:$D$54,$A17)+COUNTIF('Chandanie Nely Agustin'!$D$5:$D$54,$A17)+COUNTIF('Dida Zein Risty'!$D$5:$D$54,$A17)+COUNTIF('Fadil Rijatul Haq'!$D$5:$D$54,$A17)+COUNTIF('Faega Fitriani Dwi Putri'!$D$5:$D$54,$A17)+COUNTIF('Fajri Rizki Robbani'!$D$5:$D$54,$A17)+COUNTIF('Fakhri Safrudin Sopandi'!$D$5:$D$54,$A17)+COUNTIF('Moh. Rizky Nugraha'!$D$5:$D$54,$A17)+COUNTIF('Muhammad Akbar Putra'!$D$5:$D$54,$A17)+COUNTIF('Muhammad Hafidz Ramadhan'!$D$5:$D$54,$A17)+COUNTIF('Muhammad Lutfhi Mubarrok'!$D$5:$D$54,$A17)+COUNTIF('Muhammad Nadhira Shafar'!$D$5:$D$54,$A17)+COUNTIF('Muhammad Rafi Fakhrul Aiman'!$D$5:$D$54,$A17)+COUNTIF('Muhammad Reyvin Aryaguna'!$D$5:$D$54,$A17)+COUNTIF('Nadzar Akbar Subagja'!$D$5:$D$54,$A17)+COUNTIF('Najwan Muhammad Ghalib'!$D$5:$D$54,$A17)+COUNTIF('Nia Rizkiyanti'!$D$5:$D$54,$A17)+COUNTIF('Nur Ainillah Nabawi'!$D$5:$D$54,$A17)+COUNTIF('Nurul Khairunnissa'!$D$5:$D$54,$A17)+COUNTIF('Putri Maharani'!$D$5:$D$54,$A17)+COUNTIF('Rika Kartika'!$D$5:$D$54,$A17)+COUNTIF('Riva Nur Fathiya Safitri'!$D$5:$D$54,$A17)+COUNTIF('Shintia Nur Fadillah'!$D$5:$D$54,$A17)+COUNTIF('Sinta Faoziah'!$D$5:$D$54,$A17)+COUNTIF('Tiara Anastasya Gumilar'!$D$5:$D$54,$A17)+COUNTIF('Tiara Maelani'!$D$5:$D$54,$A17)</f>
        <v/>
      </c>
      <c r="G17" s="52" t="inlineStr">
        <is>
          <t>PA</t>
        </is>
      </c>
      <c r="H17" s="52">
        <f>COUNTIF('Aina Triyana Anggraini'!$E$5:$E$54,$G17)+COUNTIF('Aldi Suryadinata'!$E$5:$E$54,$G17)+COUNTIF('Asyahlan Hielmy'!$E$5:$E$54,$G17)+COUNTIF('Asyira Nur Haida'!$E$5:$E$54,$G17)+COUNTIF('Bayu Rizki Alfarizi'!$E$5:$E$54,$G17)+COUNTIF('Chandanie Nely Agustin'!$E$5:$E$54,$G17)+COUNTIF('Dida Zein Risty'!$E$5:$E$54,$G17)+COUNTIF('Fadil Rijatul Haq'!$E$5:$E$54,$G17)+COUNTIF('Faega Fitriani Dwi Putri'!$E$5:$E$54,$G17)+COUNTIF('Fajri Rizki Robbani'!$E$5:$E$54,$G17)+COUNTIF('Fakhri Safrudin Sopandi'!$E$5:$E$54,$G17)+COUNTIF('Moh. Rizky Nugraha'!$E$5:$E$54,$G17)+COUNTIF('Muhammad Akbar Putra'!$E$5:$E$54,$G17)+COUNTIF('Muhammad Hafidz Ramadhan'!$E$5:$E$54,$G17)+COUNTIF('Muhammad Lutfhi Mubarrok'!$E$5:$E$54,$G17)+COUNTIF('Muhammad Nadhira Shafar'!$E$5:$E$54,$G17)+COUNTIF('Muhammad Rafi Fakhrul Aiman'!$E$5:$E$54,$G17)+COUNTIF('Muhammad Reyvin Aryaguna'!$E$5:$E$54,$G17)+COUNTIF('Nadzar Akbar Subagja'!$E$5:$E$54,$G17)+COUNTIF('Najwan Muhammad Ghalib'!$E$5:$E$54,$G17)+COUNTIF('Nia Rizkiyanti'!$E$5:$E$54,$G17)+COUNTIF('Nur Ainillah Nabawi'!$E$5:$E$54,$G17)+COUNTIF('Nurul Khairunnissa'!$E$5:$E$54,$G17)+COUNTIF('Putri Maharani'!$E$5:$E$54,$G17)+COUNTIF('Rika Kartika'!$E$5:$E$54,$G17)+COUNTIF('Riva Nur Fathiya Safitri'!$E$5:$E$54,$G17)+COUNTIF('Shintia Nur Fadillah'!$E$5:$E$54,$G17)+COUNTIF('Sinta Faoziah'!$E$5:$E$54,$G17)+COUNTIF('Tiara Anastasya Gumilar'!$E$5:$E$54,$G17)+COUNTIF('Tiara Maelani'!$E$5:$E$54,$G17)</f>
        <v/>
      </c>
      <c r="M17" s="52" t="inlineStr">
        <is>
          <t>Kolam Renang Rumah Oma Opa</t>
        </is>
      </c>
      <c r="N17" s="52">
        <f>COUNTIF('Aina Triyana Anggraini'!$N$6:$N$50,$M17)+COUNTIF('Aldi Suryadinata'!$N$6:$N$50,$M17)+COUNTIF('Asyahlan Hielmy'!$N$6:$N$50,$M17)+COUNTIF('Asyira Nur Haida'!$N$6:$N$50,$M17)+COUNTIF('Bayu Rizki Alfarizi'!$N$6:$N$50,$M17)+COUNTIF('Chandanie Nely Agustin'!$N$6:$N$50,$M17)+COUNTIF('Dida Zein Risty'!$N$6:$N$50,$M17)+COUNTIF('Fadil Rijatul Haq'!$N$6:$N$50,$M17)+COUNTIF('Faega Fitriani Dwi Putri'!$N$6:$N$50,$M17)+COUNTIF('Fajri Rizki Robbani'!$N$6:$N$50,$M17)+COUNTIF('Fakhri Safrudin Sopandi'!$N$6:$N$50,$M17)+COUNTIF('Moh. Rizky Nugraha'!$N$6:$N$50,$M17)+COUNTIF('Muhammad Akbar Putra'!$N$6:$N$50,$M17)+COUNTIF('Muhammad Hafidz Ramadhan'!$N$6:$N$50,$M17)+COUNTIF('Muhammad Lutfhi Mubarrok'!$N$6:$N$50,$M17)+COUNTIF('Muhammad Nadhira Shafar'!$N$6:$N$50,$M17)+COUNTIF('Muhammad Rafi Fakhrul Aiman'!$N$6:$N$50,$M17)+COUNTIF('Muhammad Reyvin Aryaguna'!$N$6:$N$50,$M17)+COUNTIF('Nadzar Akbar Subagja'!$N$6:$N$50,$M17)+COUNTIF('Najwan Muhammad Ghalib'!$N$6:$N$50,$M17)+COUNTIF('Nia Rizkiyanti'!$N$6:$N$50,$M17)+COUNTIF('Nur Ainillah Nabawi'!$N$6:$N$50,$M17)+COUNTIF('Nurul Khairunnissa'!$N$6:$N$50,$M17)+COUNTIF('Putri Maharani'!$N$6:$N$50,$M17)+COUNTIF('Rika Kartika'!$N$6:$N$50,$M17)+COUNTIF('Riva Nur Fathiya Safitri'!$N$6:$N$50,$M17)+COUNTIF('Shintia Nur Fadillah'!$N$6:$N$50,$M17)+COUNTIF('Sinta Faoziah'!$N$6:$N$50,$M17)+COUNTIF('Tiara Anastasya Gumilar'!$N$6:$N$50,$M17)+COUNTIF('Tiara Maelani'!$N$6:$N$50,$M17)</f>
        <v/>
      </c>
      <c r="P17" s="52" t="inlineStr">
        <is>
          <t>Muhammad Hafidz Ramadhan</t>
        </is>
      </c>
      <c r="Q17" s="52">
        <f>COUNTA('Muhammad Hafidz Ramadhan'!$B$5:$B$54)</f>
        <v/>
      </c>
      <c r="R17" s="21">
        <f>Q17+ROW()/100000</f>
        <v/>
      </c>
    </row>
    <row r="18">
      <c r="A18" s="52" t="inlineStr">
        <is>
          <t>Swim Team Prep</t>
        </is>
      </c>
      <c r="B18" s="52">
        <f>COUNTIF('Aina Triyana Anggraini'!$D$5:$D$54,$A18)+COUNTIF('Aldi Suryadinata'!$D$5:$D$54,$A18)+COUNTIF('Asyahlan Hielmy'!$D$5:$D$54,$A18)+COUNTIF('Asyira Nur Haida'!$D$5:$D$54,$A18)+COUNTIF('Bayu Rizki Alfarizi'!$D$5:$D$54,$A18)+COUNTIF('Chandanie Nely Agustin'!$D$5:$D$54,$A18)+COUNTIF('Dida Zein Risty'!$D$5:$D$54,$A18)+COUNTIF('Fadil Rijatul Haq'!$D$5:$D$54,$A18)+COUNTIF('Faega Fitriani Dwi Putri'!$D$5:$D$54,$A18)+COUNTIF('Fajri Rizki Robbani'!$D$5:$D$54,$A18)+COUNTIF('Fakhri Safrudin Sopandi'!$D$5:$D$54,$A18)+COUNTIF('Moh. Rizky Nugraha'!$D$5:$D$54,$A18)+COUNTIF('Muhammad Akbar Putra'!$D$5:$D$54,$A18)+COUNTIF('Muhammad Hafidz Ramadhan'!$D$5:$D$54,$A18)+COUNTIF('Muhammad Lutfhi Mubarrok'!$D$5:$D$54,$A18)+COUNTIF('Muhammad Nadhira Shafar'!$D$5:$D$54,$A18)+COUNTIF('Muhammad Rafi Fakhrul Aiman'!$D$5:$D$54,$A18)+COUNTIF('Muhammad Reyvin Aryaguna'!$D$5:$D$54,$A18)+COUNTIF('Nadzar Akbar Subagja'!$D$5:$D$54,$A18)+COUNTIF('Najwan Muhammad Ghalib'!$D$5:$D$54,$A18)+COUNTIF('Nia Rizkiyanti'!$D$5:$D$54,$A18)+COUNTIF('Nur Ainillah Nabawi'!$D$5:$D$54,$A18)+COUNTIF('Nurul Khairunnissa'!$D$5:$D$54,$A18)+COUNTIF('Putri Maharani'!$D$5:$D$54,$A18)+COUNTIF('Rika Kartika'!$D$5:$D$54,$A18)+COUNTIF('Riva Nur Fathiya Safitri'!$D$5:$D$54,$A18)+COUNTIF('Shintia Nur Fadillah'!$D$5:$D$54,$A18)+COUNTIF('Sinta Faoziah'!$D$5:$D$54,$A18)+COUNTIF('Tiara Anastasya Gumilar'!$D$5:$D$54,$A18)+COUNTIF('Tiara Maelani'!$D$5:$D$54,$A18)</f>
        <v/>
      </c>
      <c r="G18" s="52" t="inlineStr">
        <is>
          <t>Standalone</t>
        </is>
      </c>
      <c r="H18" s="52">
        <f>COUNTIF('Aina Triyana Anggraini'!$E$5:$E$54,$G18)+COUNTIF('Aldi Suryadinata'!$E$5:$E$54,$G18)+COUNTIF('Asyahlan Hielmy'!$E$5:$E$54,$G18)+COUNTIF('Asyira Nur Haida'!$E$5:$E$54,$G18)+COUNTIF('Bayu Rizki Alfarizi'!$E$5:$E$54,$G18)+COUNTIF('Chandanie Nely Agustin'!$E$5:$E$54,$G18)+COUNTIF('Dida Zein Risty'!$E$5:$E$54,$G18)+COUNTIF('Fadil Rijatul Haq'!$E$5:$E$54,$G18)+COUNTIF('Faega Fitriani Dwi Putri'!$E$5:$E$54,$G18)+COUNTIF('Fajri Rizki Robbani'!$E$5:$E$54,$G18)+COUNTIF('Fakhri Safrudin Sopandi'!$E$5:$E$54,$G18)+COUNTIF('Moh. Rizky Nugraha'!$E$5:$E$54,$G18)+COUNTIF('Muhammad Akbar Putra'!$E$5:$E$54,$G18)+COUNTIF('Muhammad Hafidz Ramadhan'!$E$5:$E$54,$G18)+COUNTIF('Muhammad Lutfhi Mubarrok'!$E$5:$E$54,$G18)+COUNTIF('Muhammad Nadhira Shafar'!$E$5:$E$54,$G18)+COUNTIF('Muhammad Rafi Fakhrul Aiman'!$E$5:$E$54,$G18)+COUNTIF('Muhammad Reyvin Aryaguna'!$E$5:$E$54,$G18)+COUNTIF('Nadzar Akbar Subagja'!$E$5:$E$54,$G18)+COUNTIF('Najwan Muhammad Ghalib'!$E$5:$E$54,$G18)+COUNTIF('Nia Rizkiyanti'!$E$5:$E$54,$G18)+COUNTIF('Nur Ainillah Nabawi'!$E$5:$E$54,$G18)+COUNTIF('Nurul Khairunnissa'!$E$5:$E$54,$G18)+COUNTIF('Putri Maharani'!$E$5:$E$54,$G18)+COUNTIF('Rika Kartika'!$E$5:$E$54,$G18)+COUNTIF('Riva Nur Fathiya Safitri'!$E$5:$E$54,$G18)+COUNTIF('Shintia Nur Fadillah'!$E$5:$E$54,$G18)+COUNTIF('Sinta Faoziah'!$E$5:$E$54,$G18)+COUNTIF('Tiara Anastasya Gumilar'!$E$5:$E$54,$G18)+COUNTIF('Tiara Maelani'!$E$5:$E$54,$G18)</f>
        <v/>
      </c>
      <c r="M18" s="52" t="inlineStr">
        <is>
          <t>Kolam Renang Saraga ITB</t>
        </is>
      </c>
      <c r="N18" s="52">
        <f>COUNTIF('Aina Triyana Anggraini'!$N$6:$N$50,$M18)+COUNTIF('Aldi Suryadinata'!$N$6:$N$50,$M18)+COUNTIF('Asyahlan Hielmy'!$N$6:$N$50,$M18)+COUNTIF('Asyira Nur Haida'!$N$6:$N$50,$M18)+COUNTIF('Bayu Rizki Alfarizi'!$N$6:$N$50,$M18)+COUNTIF('Chandanie Nely Agustin'!$N$6:$N$50,$M18)+COUNTIF('Dida Zein Risty'!$N$6:$N$50,$M18)+COUNTIF('Fadil Rijatul Haq'!$N$6:$N$50,$M18)+COUNTIF('Faega Fitriani Dwi Putri'!$N$6:$N$50,$M18)+COUNTIF('Fajri Rizki Robbani'!$N$6:$N$50,$M18)+COUNTIF('Fakhri Safrudin Sopandi'!$N$6:$N$50,$M18)+COUNTIF('Moh. Rizky Nugraha'!$N$6:$N$50,$M18)+COUNTIF('Muhammad Akbar Putra'!$N$6:$N$50,$M18)+COUNTIF('Muhammad Hafidz Ramadhan'!$N$6:$N$50,$M18)+COUNTIF('Muhammad Lutfhi Mubarrok'!$N$6:$N$50,$M18)+COUNTIF('Muhammad Nadhira Shafar'!$N$6:$N$50,$M18)+COUNTIF('Muhammad Rafi Fakhrul Aiman'!$N$6:$N$50,$M18)+COUNTIF('Muhammad Reyvin Aryaguna'!$N$6:$N$50,$M18)+COUNTIF('Nadzar Akbar Subagja'!$N$6:$N$50,$M18)+COUNTIF('Najwan Muhammad Ghalib'!$N$6:$N$50,$M18)+COUNTIF('Nia Rizkiyanti'!$N$6:$N$50,$M18)+COUNTIF('Nur Ainillah Nabawi'!$N$6:$N$50,$M18)+COUNTIF('Nurul Khairunnissa'!$N$6:$N$50,$M18)+COUNTIF('Putri Maharani'!$N$6:$N$50,$M18)+COUNTIF('Rika Kartika'!$N$6:$N$50,$M18)+COUNTIF('Riva Nur Fathiya Safitri'!$N$6:$N$50,$M18)+COUNTIF('Shintia Nur Fadillah'!$N$6:$N$50,$M18)+COUNTIF('Sinta Faoziah'!$N$6:$N$50,$M18)+COUNTIF('Tiara Anastasya Gumilar'!$N$6:$N$50,$M18)+COUNTIF('Tiara Maelani'!$N$6:$N$50,$M18)</f>
        <v/>
      </c>
      <c r="P18" s="52" t="inlineStr">
        <is>
          <t>Muhammad Lutfhi Mubarrok</t>
        </is>
      </c>
      <c r="Q18" s="52">
        <f>COUNTA('Muhammad Lutfhi Mubarrok'!$B$5:$B$54)</f>
        <v/>
      </c>
      <c r="R18" s="21">
        <f>Q18+ROW()/100000</f>
        <v/>
      </c>
    </row>
    <row r="19">
      <c r="A19" s="53" t="inlineStr">
        <is>
          <t>(Belum diisi)</t>
        </is>
      </c>
      <c r="B19" s="52">
        <f>B21-SUM(B4:B18)</f>
        <v/>
      </c>
      <c r="M19" s="52" t="inlineStr">
        <is>
          <t>Kolam Renang Tirta Mulya Cigending</t>
        </is>
      </c>
      <c r="N19" s="52">
        <f>COUNTIF('Aina Triyana Anggraini'!$N$6:$N$50,$M19)+COUNTIF('Aldi Suryadinata'!$N$6:$N$50,$M19)+COUNTIF('Asyahlan Hielmy'!$N$6:$N$50,$M19)+COUNTIF('Asyira Nur Haida'!$N$6:$N$50,$M19)+COUNTIF('Bayu Rizki Alfarizi'!$N$6:$N$50,$M19)+COUNTIF('Chandanie Nely Agustin'!$N$6:$N$50,$M19)+COUNTIF('Dida Zein Risty'!$N$6:$N$50,$M19)+COUNTIF('Fadil Rijatul Haq'!$N$6:$N$50,$M19)+COUNTIF('Faega Fitriani Dwi Putri'!$N$6:$N$50,$M19)+COUNTIF('Fajri Rizki Robbani'!$N$6:$N$50,$M19)+COUNTIF('Fakhri Safrudin Sopandi'!$N$6:$N$50,$M19)+COUNTIF('Moh. Rizky Nugraha'!$N$6:$N$50,$M19)+COUNTIF('Muhammad Akbar Putra'!$N$6:$N$50,$M19)+COUNTIF('Muhammad Hafidz Ramadhan'!$N$6:$N$50,$M19)+COUNTIF('Muhammad Lutfhi Mubarrok'!$N$6:$N$50,$M19)+COUNTIF('Muhammad Nadhira Shafar'!$N$6:$N$50,$M19)+COUNTIF('Muhammad Rafi Fakhrul Aiman'!$N$6:$N$50,$M19)+COUNTIF('Muhammad Reyvin Aryaguna'!$N$6:$N$50,$M19)+COUNTIF('Nadzar Akbar Subagja'!$N$6:$N$50,$M19)+COUNTIF('Najwan Muhammad Ghalib'!$N$6:$N$50,$M19)+COUNTIF('Nia Rizkiyanti'!$N$6:$N$50,$M19)+COUNTIF('Nur Ainillah Nabawi'!$N$6:$N$50,$M19)+COUNTIF('Nurul Khairunnissa'!$N$6:$N$50,$M19)+COUNTIF('Putri Maharani'!$N$6:$N$50,$M19)+COUNTIF('Rika Kartika'!$N$6:$N$50,$M19)+COUNTIF('Riva Nur Fathiya Safitri'!$N$6:$N$50,$M19)+COUNTIF('Shintia Nur Fadillah'!$N$6:$N$50,$M19)+COUNTIF('Sinta Faoziah'!$N$6:$N$50,$M19)+COUNTIF('Tiara Anastasya Gumilar'!$N$6:$N$50,$M19)+COUNTIF('Tiara Maelani'!$N$6:$N$50,$M19)</f>
        <v/>
      </c>
      <c r="P19" s="52" t="inlineStr">
        <is>
          <t>Muhammad Nadhira Shafar</t>
        </is>
      </c>
      <c r="Q19" s="52">
        <f>COUNTA('Muhammad Nadhira Shafar'!$B$5:$B$54)</f>
        <v/>
      </c>
      <c r="R19" s="21">
        <f>Q19+ROW()/100000</f>
        <v/>
      </c>
    </row>
    <row r="20">
      <c r="M20" s="52" t="inlineStr">
        <is>
          <t>Kolam Renang Tongkeng</t>
        </is>
      </c>
      <c r="N20" s="52">
        <f>COUNTIF('Aina Triyana Anggraini'!$N$6:$N$50,$M20)+COUNTIF('Aldi Suryadinata'!$N$6:$N$50,$M20)+COUNTIF('Asyahlan Hielmy'!$N$6:$N$50,$M20)+COUNTIF('Asyira Nur Haida'!$N$6:$N$50,$M20)+COUNTIF('Bayu Rizki Alfarizi'!$N$6:$N$50,$M20)+COUNTIF('Chandanie Nely Agustin'!$N$6:$N$50,$M20)+COUNTIF('Dida Zein Risty'!$N$6:$N$50,$M20)+COUNTIF('Fadil Rijatul Haq'!$N$6:$N$50,$M20)+COUNTIF('Faega Fitriani Dwi Putri'!$N$6:$N$50,$M20)+COUNTIF('Fajri Rizki Robbani'!$N$6:$N$50,$M20)+COUNTIF('Fakhri Safrudin Sopandi'!$N$6:$N$50,$M20)+COUNTIF('Moh. Rizky Nugraha'!$N$6:$N$50,$M20)+COUNTIF('Muhammad Akbar Putra'!$N$6:$N$50,$M20)+COUNTIF('Muhammad Hafidz Ramadhan'!$N$6:$N$50,$M20)+COUNTIF('Muhammad Lutfhi Mubarrok'!$N$6:$N$50,$M20)+COUNTIF('Muhammad Nadhira Shafar'!$N$6:$N$50,$M20)+COUNTIF('Muhammad Rafi Fakhrul Aiman'!$N$6:$N$50,$M20)+COUNTIF('Muhammad Reyvin Aryaguna'!$N$6:$N$50,$M20)+COUNTIF('Nadzar Akbar Subagja'!$N$6:$N$50,$M20)+COUNTIF('Najwan Muhammad Ghalib'!$N$6:$N$50,$M20)+COUNTIF('Nia Rizkiyanti'!$N$6:$N$50,$M20)+COUNTIF('Nur Ainillah Nabawi'!$N$6:$N$50,$M20)+COUNTIF('Nurul Khairunnissa'!$N$6:$N$50,$M20)+COUNTIF('Putri Maharani'!$N$6:$N$50,$M20)+COUNTIF('Rika Kartika'!$N$6:$N$50,$M20)+COUNTIF('Riva Nur Fathiya Safitri'!$N$6:$N$50,$M20)+COUNTIF('Shintia Nur Fadillah'!$N$6:$N$50,$M20)+COUNTIF('Sinta Faoziah'!$N$6:$N$50,$M20)+COUNTIF('Tiara Anastasya Gumilar'!$N$6:$N$50,$M20)+COUNTIF('Tiara Maelani'!$N$6:$N$50,$M20)</f>
        <v/>
      </c>
      <c r="P20" s="52" t="inlineStr">
        <is>
          <t>Muhammad Rafi Fakhrul Aiman</t>
        </is>
      </c>
      <c r="Q20" s="52">
        <f>COUNTA('Muhammad Rafi Fakhrul Aiman'!$B$5:$B$54)</f>
        <v/>
      </c>
      <c r="R20" s="21">
        <f>Q20+ROW()/100000</f>
        <v/>
      </c>
    </row>
    <row r="21">
      <c r="A21" s="54" t="inlineStr">
        <is>
          <t>Total siswa</t>
        </is>
      </c>
      <c r="B21" s="54">
        <f>COUNTA('Aina Triyana Anggraini'!$B$5:$B$54)+COUNTA('Aldi Suryadinata'!$B$5:$B$54)+COUNTA('Asyahlan Hielmy'!$B$5:$B$54)+COUNTA('Asyira Nur Haida'!$B$5:$B$54)+COUNTA('Bayu Rizki Alfarizi'!$B$5:$B$54)+COUNTA('Chandanie Nely Agustin'!$B$5:$B$54)+COUNTA('Dida Zein Risty'!$B$5:$B$54)+COUNTA('Fadil Rijatul Haq'!$B$5:$B$54)+COUNTA('Faega Fitriani Dwi Putri'!$B$5:$B$54)+COUNTA('Fajri Rizki Robbani'!$B$5:$B$54)+COUNTA('Fakhri Safrudin Sopandi'!$B$5:$B$54)+COUNTA('Moh. Rizky Nugraha'!$B$5:$B$54)+COUNTA('Muhammad Akbar Putra'!$B$5:$B$54)+COUNTA('Muhammad Hafidz Ramadhan'!$B$5:$B$54)+COUNTA('Muhammad Lutfhi Mubarrok'!$B$5:$B$54)+COUNTA('Muhammad Nadhira Shafar'!$B$5:$B$54)+COUNTA('Muhammad Rafi Fakhrul Aiman'!$B$5:$B$54)+COUNTA('Muhammad Reyvin Aryaguna'!$B$5:$B$54)+COUNTA('Nadzar Akbar Subagja'!$B$5:$B$54)+COUNTA('Najwan Muhammad Ghalib'!$B$5:$B$54)+COUNTA('Nia Rizkiyanti'!$B$5:$B$54)+COUNTA('Nur Ainillah Nabawi'!$B$5:$B$54)+COUNTA('Nurul Khairunnissa'!$B$5:$B$54)+COUNTA('Putri Maharani'!$B$5:$B$54)+COUNTA('Rika Kartika'!$B$5:$B$54)+COUNTA('Riva Nur Fathiya Safitri'!$B$5:$B$54)+COUNTA('Shintia Nur Fadillah'!$B$5:$B$54)+COUNTA('Sinta Faoziah'!$B$5:$B$54)+COUNTA('Tiara Anastasya Gumilar'!$B$5:$B$54)+COUNTA('Tiara Maelani'!$B$5:$B$54)</f>
        <v/>
      </c>
      <c r="M21" s="52" t="inlineStr">
        <is>
          <t>Kolam Renang UPI (Gelanggang UPI)</t>
        </is>
      </c>
      <c r="N21" s="52">
        <f>COUNTIF('Aina Triyana Anggraini'!$N$6:$N$50,$M21)+COUNTIF('Aldi Suryadinata'!$N$6:$N$50,$M21)+COUNTIF('Asyahlan Hielmy'!$N$6:$N$50,$M21)+COUNTIF('Asyira Nur Haida'!$N$6:$N$50,$M21)+COUNTIF('Bayu Rizki Alfarizi'!$N$6:$N$50,$M21)+COUNTIF('Chandanie Nely Agustin'!$N$6:$N$50,$M21)+COUNTIF('Dida Zein Risty'!$N$6:$N$50,$M21)+COUNTIF('Fadil Rijatul Haq'!$N$6:$N$50,$M21)+COUNTIF('Faega Fitriani Dwi Putri'!$N$6:$N$50,$M21)+COUNTIF('Fajri Rizki Robbani'!$N$6:$N$50,$M21)+COUNTIF('Fakhri Safrudin Sopandi'!$N$6:$N$50,$M21)+COUNTIF('Moh. Rizky Nugraha'!$N$6:$N$50,$M21)+COUNTIF('Muhammad Akbar Putra'!$N$6:$N$50,$M21)+COUNTIF('Muhammad Hafidz Ramadhan'!$N$6:$N$50,$M21)+COUNTIF('Muhammad Lutfhi Mubarrok'!$N$6:$N$50,$M21)+COUNTIF('Muhammad Nadhira Shafar'!$N$6:$N$50,$M21)+COUNTIF('Muhammad Rafi Fakhrul Aiman'!$N$6:$N$50,$M21)+COUNTIF('Muhammad Reyvin Aryaguna'!$N$6:$N$50,$M21)+COUNTIF('Nadzar Akbar Subagja'!$N$6:$N$50,$M21)+COUNTIF('Najwan Muhammad Ghalib'!$N$6:$N$50,$M21)+COUNTIF('Nia Rizkiyanti'!$N$6:$N$50,$M21)+COUNTIF('Nur Ainillah Nabawi'!$N$6:$N$50,$M21)+COUNTIF('Nurul Khairunnissa'!$N$6:$N$50,$M21)+COUNTIF('Putri Maharani'!$N$6:$N$50,$M21)+COUNTIF('Rika Kartika'!$N$6:$N$50,$M21)+COUNTIF('Riva Nur Fathiya Safitri'!$N$6:$N$50,$M21)+COUNTIF('Shintia Nur Fadillah'!$N$6:$N$50,$M21)+COUNTIF('Sinta Faoziah'!$N$6:$N$50,$M21)+COUNTIF('Tiara Anastasya Gumilar'!$N$6:$N$50,$M21)+COUNTIF('Tiara Maelani'!$N$6:$N$50,$M21)</f>
        <v/>
      </c>
      <c r="P21" s="52" t="inlineStr">
        <is>
          <t>Muhammad Reyvin Aryaguna</t>
        </is>
      </c>
      <c r="Q21" s="52">
        <f>COUNTA('Muhammad Reyvin Aryaguna'!$B$5:$B$54)</f>
        <v/>
      </c>
      <c r="R21" s="21">
        <f>Q21+ROW()/100000</f>
        <v/>
      </c>
    </row>
    <row r="22">
      <c r="M22" s="52" t="inlineStr">
        <is>
          <t>Kolam Renang Wika Bandung</t>
        </is>
      </c>
      <c r="N22" s="52">
        <f>COUNTIF('Aina Triyana Anggraini'!$N$6:$N$50,$M22)+COUNTIF('Aldi Suryadinata'!$N$6:$N$50,$M22)+COUNTIF('Asyahlan Hielmy'!$N$6:$N$50,$M22)+COUNTIF('Asyira Nur Haida'!$N$6:$N$50,$M22)+COUNTIF('Bayu Rizki Alfarizi'!$N$6:$N$50,$M22)+COUNTIF('Chandanie Nely Agustin'!$N$6:$N$50,$M22)+COUNTIF('Dida Zein Risty'!$N$6:$N$50,$M22)+COUNTIF('Fadil Rijatul Haq'!$N$6:$N$50,$M22)+COUNTIF('Faega Fitriani Dwi Putri'!$N$6:$N$50,$M22)+COUNTIF('Fajri Rizki Robbani'!$N$6:$N$50,$M22)+COUNTIF('Fakhri Safrudin Sopandi'!$N$6:$N$50,$M22)+COUNTIF('Moh. Rizky Nugraha'!$N$6:$N$50,$M22)+COUNTIF('Muhammad Akbar Putra'!$N$6:$N$50,$M22)+COUNTIF('Muhammad Hafidz Ramadhan'!$N$6:$N$50,$M22)+COUNTIF('Muhammad Lutfhi Mubarrok'!$N$6:$N$50,$M22)+COUNTIF('Muhammad Nadhira Shafar'!$N$6:$N$50,$M22)+COUNTIF('Muhammad Rafi Fakhrul Aiman'!$N$6:$N$50,$M22)+COUNTIF('Muhammad Reyvin Aryaguna'!$N$6:$N$50,$M22)+COUNTIF('Nadzar Akbar Subagja'!$N$6:$N$50,$M22)+COUNTIF('Najwan Muhammad Ghalib'!$N$6:$N$50,$M22)+COUNTIF('Nia Rizkiyanti'!$N$6:$N$50,$M22)+COUNTIF('Nur Ainillah Nabawi'!$N$6:$N$50,$M22)+COUNTIF('Nurul Khairunnissa'!$N$6:$N$50,$M22)+COUNTIF('Putri Maharani'!$N$6:$N$50,$M22)+COUNTIF('Rika Kartika'!$N$6:$N$50,$M22)+COUNTIF('Riva Nur Fathiya Safitri'!$N$6:$N$50,$M22)+COUNTIF('Shintia Nur Fadillah'!$N$6:$N$50,$M22)+COUNTIF('Sinta Faoziah'!$N$6:$N$50,$M22)+COUNTIF('Tiara Anastasya Gumilar'!$N$6:$N$50,$M22)+COUNTIF('Tiara Maelani'!$N$6:$N$50,$M22)</f>
        <v/>
      </c>
      <c r="P22" s="52" t="inlineStr">
        <is>
          <t>Nadzar Akbar Subagja</t>
        </is>
      </c>
      <c r="Q22" s="52">
        <f>COUNTA('Nadzar Akbar Subagja'!$B$5:$B$54)</f>
        <v/>
      </c>
      <c r="R22" s="21">
        <f>Q22+ROW()/100000</f>
        <v/>
      </c>
    </row>
    <row r="23">
      <c r="M23" s="52" t="inlineStr">
        <is>
          <t>Pandiga Sport Club</t>
        </is>
      </c>
      <c r="N23" s="52">
        <f>COUNTIF('Aina Triyana Anggraini'!$N$6:$N$50,$M23)+COUNTIF('Aldi Suryadinata'!$N$6:$N$50,$M23)+COUNTIF('Asyahlan Hielmy'!$N$6:$N$50,$M23)+COUNTIF('Asyira Nur Haida'!$N$6:$N$50,$M23)+COUNTIF('Bayu Rizki Alfarizi'!$N$6:$N$50,$M23)+COUNTIF('Chandanie Nely Agustin'!$N$6:$N$50,$M23)+COUNTIF('Dida Zein Risty'!$N$6:$N$50,$M23)+COUNTIF('Fadil Rijatul Haq'!$N$6:$N$50,$M23)+COUNTIF('Faega Fitriani Dwi Putri'!$N$6:$N$50,$M23)+COUNTIF('Fajri Rizki Robbani'!$N$6:$N$50,$M23)+COUNTIF('Fakhri Safrudin Sopandi'!$N$6:$N$50,$M23)+COUNTIF('Moh. Rizky Nugraha'!$N$6:$N$50,$M23)+COUNTIF('Muhammad Akbar Putra'!$N$6:$N$50,$M23)+COUNTIF('Muhammad Hafidz Ramadhan'!$N$6:$N$50,$M23)+COUNTIF('Muhammad Lutfhi Mubarrok'!$N$6:$N$50,$M23)+COUNTIF('Muhammad Nadhira Shafar'!$N$6:$N$50,$M23)+COUNTIF('Muhammad Rafi Fakhrul Aiman'!$N$6:$N$50,$M23)+COUNTIF('Muhammad Reyvin Aryaguna'!$N$6:$N$50,$M23)+COUNTIF('Nadzar Akbar Subagja'!$N$6:$N$50,$M23)+COUNTIF('Najwan Muhammad Ghalib'!$N$6:$N$50,$M23)+COUNTIF('Nia Rizkiyanti'!$N$6:$N$50,$M23)+COUNTIF('Nur Ainillah Nabawi'!$N$6:$N$50,$M23)+COUNTIF('Nurul Khairunnissa'!$N$6:$N$50,$M23)+COUNTIF('Putri Maharani'!$N$6:$N$50,$M23)+COUNTIF('Rika Kartika'!$N$6:$N$50,$M23)+COUNTIF('Riva Nur Fathiya Safitri'!$N$6:$N$50,$M23)+COUNTIF('Shintia Nur Fadillah'!$N$6:$N$50,$M23)+COUNTIF('Sinta Faoziah'!$N$6:$N$50,$M23)+COUNTIF('Tiara Anastasya Gumilar'!$N$6:$N$50,$M23)+COUNTIF('Tiara Maelani'!$N$6:$N$50,$M23)</f>
        <v/>
      </c>
      <c r="P23" s="52" t="inlineStr">
        <is>
          <t>Najwan Muhammad Ghalib</t>
        </is>
      </c>
      <c r="Q23" s="52">
        <f>COUNTA('Najwan Muhammad Ghalib'!$B$5:$B$54)</f>
        <v/>
      </c>
      <c r="R23" s="21">
        <f>Q23+ROW()/100000</f>
        <v/>
      </c>
    </row>
    <row r="24">
      <c r="M24" s="52" t="inlineStr">
        <is>
          <t>Sampoerna Sport Club</t>
        </is>
      </c>
      <c r="N24" s="52">
        <f>COUNTIF('Aina Triyana Anggraini'!$N$6:$N$50,$M24)+COUNTIF('Aldi Suryadinata'!$N$6:$N$50,$M24)+COUNTIF('Asyahlan Hielmy'!$N$6:$N$50,$M24)+COUNTIF('Asyira Nur Haida'!$N$6:$N$50,$M24)+COUNTIF('Bayu Rizki Alfarizi'!$N$6:$N$50,$M24)+COUNTIF('Chandanie Nely Agustin'!$N$6:$N$50,$M24)+COUNTIF('Dida Zein Risty'!$N$6:$N$50,$M24)+COUNTIF('Fadil Rijatul Haq'!$N$6:$N$50,$M24)+COUNTIF('Faega Fitriani Dwi Putri'!$N$6:$N$50,$M24)+COUNTIF('Fajri Rizki Robbani'!$N$6:$N$50,$M24)+COUNTIF('Fakhri Safrudin Sopandi'!$N$6:$N$50,$M24)+COUNTIF('Moh. Rizky Nugraha'!$N$6:$N$50,$M24)+COUNTIF('Muhammad Akbar Putra'!$N$6:$N$50,$M24)+COUNTIF('Muhammad Hafidz Ramadhan'!$N$6:$N$50,$M24)+COUNTIF('Muhammad Lutfhi Mubarrok'!$N$6:$N$50,$M24)+COUNTIF('Muhammad Nadhira Shafar'!$N$6:$N$50,$M24)+COUNTIF('Muhammad Rafi Fakhrul Aiman'!$N$6:$N$50,$M24)+COUNTIF('Muhammad Reyvin Aryaguna'!$N$6:$N$50,$M24)+COUNTIF('Nadzar Akbar Subagja'!$N$6:$N$50,$M24)+COUNTIF('Najwan Muhammad Ghalib'!$N$6:$N$50,$M24)+COUNTIF('Nia Rizkiyanti'!$N$6:$N$50,$M24)+COUNTIF('Nur Ainillah Nabawi'!$N$6:$N$50,$M24)+COUNTIF('Nurul Khairunnissa'!$N$6:$N$50,$M24)+COUNTIF('Putri Maharani'!$N$6:$N$50,$M24)+COUNTIF('Rika Kartika'!$N$6:$N$50,$M24)+COUNTIF('Riva Nur Fathiya Safitri'!$N$6:$N$50,$M24)+COUNTIF('Shintia Nur Fadillah'!$N$6:$N$50,$M24)+COUNTIF('Sinta Faoziah'!$N$6:$N$50,$M24)+COUNTIF('Tiara Anastasya Gumilar'!$N$6:$N$50,$M24)+COUNTIF('Tiara Maelani'!$N$6:$N$50,$M24)</f>
        <v/>
      </c>
      <c r="P24" s="52" t="inlineStr">
        <is>
          <t>Nia Rizkiyanti</t>
        </is>
      </c>
      <c r="Q24" s="52">
        <f>COUNTA('Nia Rizkiyanti'!$B$5:$B$54)</f>
        <v/>
      </c>
      <c r="R24" s="21">
        <f>Q24+ROW()/100000</f>
        <v/>
      </c>
    </row>
    <row r="25">
      <c r="M25" s="52" t="inlineStr">
        <is>
          <t>Sari Ater Kamboti Bandung</t>
        </is>
      </c>
      <c r="N25" s="52">
        <f>COUNTIF('Aina Triyana Anggraini'!$N$6:$N$50,$M25)+COUNTIF('Aldi Suryadinata'!$N$6:$N$50,$M25)+COUNTIF('Asyahlan Hielmy'!$N$6:$N$50,$M25)+COUNTIF('Asyira Nur Haida'!$N$6:$N$50,$M25)+COUNTIF('Bayu Rizki Alfarizi'!$N$6:$N$50,$M25)+COUNTIF('Chandanie Nely Agustin'!$N$6:$N$50,$M25)+COUNTIF('Dida Zein Risty'!$N$6:$N$50,$M25)+COUNTIF('Fadil Rijatul Haq'!$N$6:$N$50,$M25)+COUNTIF('Faega Fitriani Dwi Putri'!$N$6:$N$50,$M25)+COUNTIF('Fajri Rizki Robbani'!$N$6:$N$50,$M25)+COUNTIF('Fakhri Safrudin Sopandi'!$N$6:$N$50,$M25)+COUNTIF('Moh. Rizky Nugraha'!$N$6:$N$50,$M25)+COUNTIF('Muhammad Akbar Putra'!$N$6:$N$50,$M25)+COUNTIF('Muhammad Hafidz Ramadhan'!$N$6:$N$50,$M25)+COUNTIF('Muhammad Lutfhi Mubarrok'!$N$6:$N$50,$M25)+COUNTIF('Muhammad Nadhira Shafar'!$N$6:$N$50,$M25)+COUNTIF('Muhammad Rafi Fakhrul Aiman'!$N$6:$N$50,$M25)+COUNTIF('Muhammad Reyvin Aryaguna'!$N$6:$N$50,$M25)+COUNTIF('Nadzar Akbar Subagja'!$N$6:$N$50,$M25)+COUNTIF('Najwan Muhammad Ghalib'!$N$6:$N$50,$M25)+COUNTIF('Nia Rizkiyanti'!$N$6:$N$50,$M25)+COUNTIF('Nur Ainillah Nabawi'!$N$6:$N$50,$M25)+COUNTIF('Nurul Khairunnissa'!$N$6:$N$50,$M25)+COUNTIF('Putri Maharani'!$N$6:$N$50,$M25)+COUNTIF('Rika Kartika'!$N$6:$N$50,$M25)+COUNTIF('Riva Nur Fathiya Safitri'!$N$6:$N$50,$M25)+COUNTIF('Shintia Nur Fadillah'!$N$6:$N$50,$M25)+COUNTIF('Sinta Faoziah'!$N$6:$N$50,$M25)+COUNTIF('Tiara Anastasya Gumilar'!$N$6:$N$50,$M25)+COUNTIF('Tiara Maelani'!$N$6:$N$50,$M25)</f>
        <v/>
      </c>
      <c r="P25" s="52" t="inlineStr">
        <is>
          <t>Nur Ainillah Nabawi</t>
        </is>
      </c>
      <c r="Q25" s="52">
        <f>COUNTA('Nur Ainillah Nabawi'!$B$5:$B$54)</f>
        <v/>
      </c>
      <c r="R25" s="21">
        <f>Q25+ROW()/100000</f>
        <v/>
      </c>
    </row>
    <row r="26">
      <c r="M26" s="52" t="inlineStr">
        <is>
          <t>Villa Salse (Dago Giri)</t>
        </is>
      </c>
      <c r="N26" s="52">
        <f>COUNTIF('Aina Triyana Anggraini'!$N$6:$N$50,$M26)+COUNTIF('Aldi Suryadinata'!$N$6:$N$50,$M26)+COUNTIF('Asyahlan Hielmy'!$N$6:$N$50,$M26)+COUNTIF('Asyira Nur Haida'!$N$6:$N$50,$M26)+COUNTIF('Bayu Rizki Alfarizi'!$N$6:$N$50,$M26)+COUNTIF('Chandanie Nely Agustin'!$N$6:$N$50,$M26)+COUNTIF('Dida Zein Risty'!$N$6:$N$50,$M26)+COUNTIF('Fadil Rijatul Haq'!$N$6:$N$50,$M26)+COUNTIF('Faega Fitriani Dwi Putri'!$N$6:$N$50,$M26)+COUNTIF('Fajri Rizki Robbani'!$N$6:$N$50,$M26)+COUNTIF('Fakhri Safrudin Sopandi'!$N$6:$N$50,$M26)+COUNTIF('Moh. Rizky Nugraha'!$N$6:$N$50,$M26)+COUNTIF('Muhammad Akbar Putra'!$N$6:$N$50,$M26)+COUNTIF('Muhammad Hafidz Ramadhan'!$N$6:$N$50,$M26)+COUNTIF('Muhammad Lutfhi Mubarrok'!$N$6:$N$50,$M26)+COUNTIF('Muhammad Nadhira Shafar'!$N$6:$N$50,$M26)+COUNTIF('Muhammad Rafi Fakhrul Aiman'!$N$6:$N$50,$M26)+COUNTIF('Muhammad Reyvin Aryaguna'!$N$6:$N$50,$M26)+COUNTIF('Nadzar Akbar Subagja'!$N$6:$N$50,$M26)+COUNTIF('Najwan Muhammad Ghalib'!$N$6:$N$50,$M26)+COUNTIF('Nia Rizkiyanti'!$N$6:$N$50,$M26)+COUNTIF('Nur Ainillah Nabawi'!$N$6:$N$50,$M26)+COUNTIF('Nurul Khairunnissa'!$N$6:$N$50,$M26)+COUNTIF('Putri Maharani'!$N$6:$N$50,$M26)+COUNTIF('Rika Kartika'!$N$6:$N$50,$M26)+COUNTIF('Riva Nur Fathiya Safitri'!$N$6:$N$50,$M26)+COUNTIF('Shintia Nur Fadillah'!$N$6:$N$50,$M26)+COUNTIF('Sinta Faoziah'!$N$6:$N$50,$M26)+COUNTIF('Tiara Anastasya Gumilar'!$N$6:$N$50,$M26)+COUNTIF('Tiara Maelani'!$N$6:$N$50,$M26)</f>
        <v/>
      </c>
      <c r="P26" s="52" t="inlineStr">
        <is>
          <t>Nurul Khairunnissa</t>
        </is>
      </c>
      <c r="Q26" s="52">
        <f>COUNTA('Nurul Khairunnissa'!$B$5:$B$54)</f>
        <v/>
      </c>
      <c r="R26" s="21">
        <f>Q26+ROW()/100000</f>
        <v/>
      </c>
    </row>
    <row r="27">
      <c r="M27" s="52" t="inlineStr">
        <is>
          <t>Lainnya</t>
        </is>
      </c>
      <c r="N27" s="52">
        <f>COUNTIF('Aina Triyana Anggraini'!$N$6:$N$50,$M27)+COUNTIF('Aldi Suryadinata'!$N$6:$N$50,$M27)+COUNTIF('Asyahlan Hielmy'!$N$6:$N$50,$M27)+COUNTIF('Asyira Nur Haida'!$N$6:$N$50,$M27)+COUNTIF('Bayu Rizki Alfarizi'!$N$6:$N$50,$M27)+COUNTIF('Chandanie Nely Agustin'!$N$6:$N$50,$M27)+COUNTIF('Dida Zein Risty'!$N$6:$N$50,$M27)+COUNTIF('Fadil Rijatul Haq'!$N$6:$N$50,$M27)+COUNTIF('Faega Fitriani Dwi Putri'!$N$6:$N$50,$M27)+COUNTIF('Fajri Rizki Robbani'!$N$6:$N$50,$M27)+COUNTIF('Fakhri Safrudin Sopandi'!$N$6:$N$50,$M27)+COUNTIF('Moh. Rizky Nugraha'!$N$6:$N$50,$M27)+COUNTIF('Muhammad Akbar Putra'!$N$6:$N$50,$M27)+COUNTIF('Muhammad Hafidz Ramadhan'!$N$6:$N$50,$M27)+COUNTIF('Muhammad Lutfhi Mubarrok'!$N$6:$N$50,$M27)+COUNTIF('Muhammad Nadhira Shafar'!$N$6:$N$50,$M27)+COUNTIF('Muhammad Rafi Fakhrul Aiman'!$N$6:$N$50,$M27)+COUNTIF('Muhammad Reyvin Aryaguna'!$N$6:$N$50,$M27)+COUNTIF('Nadzar Akbar Subagja'!$N$6:$N$50,$M27)+COUNTIF('Najwan Muhammad Ghalib'!$N$6:$N$50,$M27)+COUNTIF('Nia Rizkiyanti'!$N$6:$N$50,$M27)+COUNTIF('Nur Ainillah Nabawi'!$N$6:$N$50,$M27)+COUNTIF('Nurul Khairunnissa'!$N$6:$N$50,$M27)+COUNTIF('Putri Maharani'!$N$6:$N$50,$M27)+COUNTIF('Rika Kartika'!$N$6:$N$50,$M27)+COUNTIF('Riva Nur Fathiya Safitri'!$N$6:$N$50,$M27)+COUNTIF('Shintia Nur Fadillah'!$N$6:$N$50,$M27)+COUNTIF('Sinta Faoziah'!$N$6:$N$50,$M27)+COUNTIF('Tiara Anastasya Gumilar'!$N$6:$N$50,$M27)+COUNTIF('Tiara Maelani'!$N$6:$N$50,$M27)</f>
        <v/>
      </c>
      <c r="P27" s="52" t="inlineStr">
        <is>
          <t>Putri Maharani</t>
        </is>
      </c>
      <c r="Q27" s="52">
        <f>COUNTA('Putri Maharani'!$B$5:$B$54)</f>
        <v/>
      </c>
      <c r="R27" s="21">
        <f>Q27+ROW()/100000</f>
        <v/>
      </c>
    </row>
    <row r="28">
      <c r="P28" s="52" t="inlineStr">
        <is>
          <t>Rika Kartika</t>
        </is>
      </c>
      <c r="Q28" s="52">
        <f>COUNTA('Rika Kartika'!$B$5:$B$54)</f>
        <v/>
      </c>
      <c r="R28" s="21">
        <f>Q28+ROW()/100000</f>
        <v/>
      </c>
    </row>
    <row r="29">
      <c r="P29" s="52" t="inlineStr">
        <is>
          <t>Riva Nur Fathiya Safitri</t>
        </is>
      </c>
      <c r="Q29" s="52">
        <f>COUNTA('Riva Nur Fathiya Safitri'!$B$5:$B$54)</f>
        <v/>
      </c>
      <c r="R29" s="21">
        <f>Q29+ROW()/100000</f>
        <v/>
      </c>
    </row>
    <row r="30">
      <c r="P30" s="52" t="inlineStr">
        <is>
          <t>Shintia Nur Fadillah</t>
        </is>
      </c>
      <c r="Q30" s="52">
        <f>COUNTA('Shintia Nur Fadillah'!$B$5:$B$54)</f>
        <v/>
      </c>
      <c r="R30" s="21">
        <f>Q30+ROW()/100000</f>
        <v/>
      </c>
    </row>
    <row r="31">
      <c r="P31" s="52" t="inlineStr">
        <is>
          <t>Sinta Faoziah</t>
        </is>
      </c>
      <c r="Q31" s="52">
        <f>COUNTA('Sinta Faoziah'!$B$5:$B$54)</f>
        <v/>
      </c>
      <c r="R31" s="21">
        <f>Q31+ROW()/100000</f>
        <v/>
      </c>
    </row>
    <row r="32">
      <c r="P32" s="52" t="inlineStr">
        <is>
          <t>Tiara Anastasya Gumilar</t>
        </is>
      </c>
      <c r="Q32" s="52">
        <f>COUNTA('Tiara Anastasya Gumilar'!$B$5:$B$54)</f>
        <v/>
      </c>
      <c r="R32" s="21">
        <f>Q32+ROW()/100000</f>
        <v/>
      </c>
    </row>
    <row r="33">
      <c r="P33" s="52" t="inlineStr">
        <is>
          <t>Tiara Maelani</t>
        </is>
      </c>
      <c r="Q33" s="52">
        <f>COUNTA('Tiara Maelani'!$B$5:$B$54)</f>
        <v/>
      </c>
      <c r="R33" s="21">
        <f>Q33+ROW()/100000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3" max="3"/>
    <col width="18" customWidth="1" min="5" max="5"/>
    <col width="20" customWidth="1" min="7" max="7"/>
    <col width="30" customWidth="1" min="9" max="9"/>
    <col width="12" customWidth="1" min="11" max="11"/>
    <col width="10" customWidth="1" min="13" max="13"/>
    <col width="12" customWidth="1" min="15" max="15"/>
  </cols>
  <sheetData>
    <row r="1">
      <c r="A1" s="54" t="inlineStr">
        <is>
          <t>Kolam</t>
        </is>
      </c>
      <c r="C1" s="54" t="inlineStr">
        <is>
          <t>Lokasi</t>
        </is>
      </c>
      <c r="E1" s="54" t="inlineStr">
        <is>
          <t>Level</t>
        </is>
      </c>
      <c r="G1" s="54" t="inlineStr">
        <is>
          <t>Program</t>
        </is>
      </c>
      <c r="I1" s="54" t="inlineStr">
        <is>
          <t>Coach</t>
        </is>
      </c>
      <c r="K1" s="54" t="inlineStr">
        <is>
          <t>Status</t>
        </is>
      </c>
      <c r="M1" s="54" t="inlineStr">
        <is>
          <t>Risiko</t>
        </is>
      </c>
      <c r="O1" s="54" t="inlineStr">
        <is>
          <t>Sosialisasi</t>
        </is>
      </c>
    </row>
    <row r="2">
      <c r="A2" s="52" t="inlineStr">
        <is>
          <t>BSD Bandung (Riung Mekar)</t>
        </is>
      </c>
      <c r="C2" s="52" t="inlineStr">
        <is>
          <t>Bandung Kota</t>
        </is>
      </c>
      <c r="E2" s="52" t="inlineStr">
        <is>
          <t>Baby Swim I</t>
        </is>
      </c>
      <c r="G2" s="52" t="inlineStr">
        <is>
          <t>Private Class</t>
        </is>
      </c>
      <c r="I2" s="52" t="inlineStr">
        <is>
          <t>Aina Triyana Anggraini</t>
        </is>
      </c>
      <c r="K2" s="52" t="inlineStr">
        <is>
          <t>PA</t>
        </is>
      </c>
      <c r="M2" s="52" t="inlineStr">
        <is>
          <t>Rendah</t>
        </is>
      </c>
      <c r="O2" s="52" t="inlineStr">
        <is>
          <t>Sudah</t>
        </is>
      </c>
    </row>
    <row r="3">
      <c r="A3" s="52" t="inlineStr">
        <is>
          <t>Calma Kitchen &amp; Pool</t>
        </is>
      </c>
      <c r="C3" s="52" t="inlineStr">
        <is>
          <t>Bandung Utara</t>
        </is>
      </c>
      <c r="E3" s="52" t="inlineStr">
        <is>
          <t>Baby Swim II</t>
        </is>
      </c>
      <c r="G3" s="52" t="inlineStr">
        <is>
          <t>Couple Class</t>
        </is>
      </c>
      <c r="I3" s="52" t="inlineStr">
        <is>
          <t>Aldi Suryadinata</t>
        </is>
      </c>
      <c r="K3" s="52" t="inlineStr">
        <is>
          <t>Standalone</t>
        </is>
      </c>
      <c r="M3" s="52" t="inlineStr">
        <is>
          <t>Sedang</t>
        </is>
      </c>
      <c r="O3" s="52" t="inlineStr">
        <is>
          <t>Belum</t>
        </is>
      </c>
    </row>
    <row r="4">
      <c r="A4" s="52" t="inlineStr">
        <is>
          <t>Cherryfield Club House</t>
        </is>
      </c>
      <c r="C4" s="52" t="inlineStr">
        <is>
          <t>Bandung Selatan</t>
        </is>
      </c>
      <c r="E4" s="52" t="inlineStr">
        <is>
          <t>Aquatike I</t>
        </is>
      </c>
      <c r="G4" s="52" t="inlineStr">
        <is>
          <t>Group Class</t>
        </is>
      </c>
      <c r="I4" s="52" t="inlineStr">
        <is>
          <t>Asyahlan Hielmy</t>
        </is>
      </c>
      <c r="M4" s="52" t="inlineStr">
        <is>
          <t>Tinggi</t>
        </is>
      </c>
    </row>
    <row r="5">
      <c r="A5" s="52" t="inlineStr">
        <is>
          <t>Hotel Cozy Catellya Boutique</t>
        </is>
      </c>
      <c r="C5" s="52" t="inlineStr">
        <is>
          <t>Bandung Timur</t>
        </is>
      </c>
      <c r="E5" s="52" t="inlineStr">
        <is>
          <t>Aquatike II</t>
        </is>
      </c>
      <c r="G5" s="52" t="inlineStr">
        <is>
          <t>Reguler Class</t>
        </is>
      </c>
      <c r="I5" s="52" t="inlineStr">
        <is>
          <t>Asyira Nur Haida</t>
        </is>
      </c>
    </row>
    <row r="6">
      <c r="A6" s="52" t="inlineStr">
        <is>
          <t>Hotel Grand Arjuna Bandung</t>
        </is>
      </c>
      <c r="C6" s="52" t="inlineStr">
        <is>
          <t>Bandung Barat</t>
        </is>
      </c>
      <c r="E6" s="52" t="inlineStr">
        <is>
          <t>Aquatike III</t>
        </is>
      </c>
      <c r="G6" s="52" t="inlineStr">
        <is>
          <t>Baby Swim</t>
        </is>
      </c>
      <c r="I6" s="52" t="inlineStr">
        <is>
          <t>Bayu Rizki Alfarizi</t>
        </is>
      </c>
    </row>
    <row r="7">
      <c r="A7" s="52" t="inlineStr">
        <is>
          <t>Hotel Grand Pacific</t>
        </is>
      </c>
      <c r="C7" s="52" t="inlineStr">
        <is>
          <t>Cimahi</t>
        </is>
      </c>
      <c r="E7" s="52" t="inlineStr">
        <is>
          <t>Preschool I</t>
        </is>
      </c>
      <c r="G7" s="52" t="inlineStr">
        <is>
          <t>Hydrotherapy Class</t>
        </is>
      </c>
      <c r="I7" s="52" t="inlineStr">
        <is>
          <t>Chandanie Nely Agustin</t>
        </is>
      </c>
    </row>
    <row r="8">
      <c r="A8" s="52" t="inlineStr">
        <is>
          <t>Hotel Kytos Setiabudi</t>
        </is>
      </c>
      <c r="E8" s="52" t="inlineStr">
        <is>
          <t>Preschool II</t>
        </is>
      </c>
      <c r="I8" s="52" t="inlineStr">
        <is>
          <t>Dida Zein Risty</t>
        </is>
      </c>
    </row>
    <row r="9">
      <c r="A9" s="52" t="inlineStr">
        <is>
          <t>Hotel Neo Dipatiukur</t>
        </is>
      </c>
      <c r="E9" s="52" t="inlineStr">
        <is>
          <t>Beginner I</t>
        </is>
      </c>
      <c r="I9" s="52" t="inlineStr">
        <is>
          <t>Fadil Rijatul Haq</t>
        </is>
      </c>
    </row>
    <row r="10">
      <c r="A10" s="52" t="inlineStr">
        <is>
          <t>Hotel Oakwood Merdeka Bandung</t>
        </is>
      </c>
      <c r="E10" s="52" t="inlineStr">
        <is>
          <t>Beginner II</t>
        </is>
      </c>
      <c r="I10" s="52" t="inlineStr">
        <is>
          <t>Faega Fitriani Dwi Putri</t>
        </is>
      </c>
    </row>
    <row r="11">
      <c r="A11" s="52" t="inlineStr">
        <is>
          <t>Hotel Point C Hotel Bandung</t>
        </is>
      </c>
      <c r="E11" s="52" t="inlineStr">
        <is>
          <t>Beginner III</t>
        </is>
      </c>
      <c r="I11" s="52" t="inlineStr">
        <is>
          <t>Fajri Rizki Robbani</t>
        </is>
      </c>
    </row>
    <row r="12">
      <c r="A12" s="52" t="inlineStr">
        <is>
          <t>Hotel Savoy Homan</t>
        </is>
      </c>
      <c r="E12" s="52" t="inlineStr">
        <is>
          <t>Intermediate I</t>
        </is>
      </c>
      <c r="I12" s="52" t="inlineStr">
        <is>
          <t>Fakhri Safrudin Sopandi</t>
        </is>
      </c>
    </row>
    <row r="13">
      <c r="A13" s="52" t="inlineStr">
        <is>
          <t>Kolam Renang Buah Batu Regency</t>
        </is>
      </c>
      <c r="E13" s="52" t="inlineStr">
        <is>
          <t>Intermediate II</t>
        </is>
      </c>
      <c r="I13" s="52" t="inlineStr">
        <is>
          <t>Moh. Rizky Nugraha</t>
        </is>
      </c>
    </row>
    <row r="14">
      <c r="A14" s="52" t="inlineStr">
        <is>
          <t>Kolam Renang Bukit Cipaku</t>
        </is>
      </c>
      <c r="E14" s="52" t="inlineStr">
        <is>
          <t>Advanced I</t>
        </is>
      </c>
      <c r="I14" s="52" t="inlineStr">
        <is>
          <t>Muhammad Akbar Putra</t>
        </is>
      </c>
    </row>
    <row r="15">
      <c r="A15" s="52" t="inlineStr">
        <is>
          <t>Kolam Renang Rumah Oma Opa</t>
        </is>
      </c>
      <c r="E15" s="52" t="inlineStr">
        <is>
          <t>Advanced II</t>
        </is>
      </c>
      <c r="I15" s="52" t="inlineStr">
        <is>
          <t>Muhammad Hafidz Ramadhan</t>
        </is>
      </c>
    </row>
    <row r="16">
      <c r="A16" s="52" t="inlineStr">
        <is>
          <t>Kolam Renang Saraga ITB</t>
        </is>
      </c>
      <c r="E16" s="52" t="inlineStr">
        <is>
          <t>Swim Team Prep</t>
        </is>
      </c>
      <c r="I16" s="52" t="inlineStr">
        <is>
          <t>Muhammad Lutfhi Mubarrok</t>
        </is>
      </c>
    </row>
    <row r="17">
      <c r="A17" s="52" t="inlineStr">
        <is>
          <t>Kolam Renang Tirta Mulya Cigending</t>
        </is>
      </c>
      <c r="I17" s="52" t="inlineStr">
        <is>
          <t>Muhammad Nadhira Shafar</t>
        </is>
      </c>
    </row>
    <row r="18">
      <c r="A18" s="52" t="inlineStr">
        <is>
          <t>Kolam Renang Tongkeng</t>
        </is>
      </c>
      <c r="I18" s="52" t="inlineStr">
        <is>
          <t>Muhammad Rafi Fakhrul Aiman</t>
        </is>
      </c>
    </row>
    <row r="19">
      <c r="A19" s="52" t="inlineStr">
        <is>
          <t>Kolam Renang UPI (Gelanggang UPI)</t>
        </is>
      </c>
      <c r="I19" s="52" t="inlineStr">
        <is>
          <t>Muhammad Reyvin Aryaguna</t>
        </is>
      </c>
    </row>
    <row r="20">
      <c r="A20" s="52" t="inlineStr">
        <is>
          <t>Kolam Renang Wika Bandung</t>
        </is>
      </c>
      <c r="I20" s="52" t="inlineStr">
        <is>
          <t>Nadzar Akbar Subagja</t>
        </is>
      </c>
    </row>
    <row r="21">
      <c r="A21" s="52" t="inlineStr">
        <is>
          <t>Pandiga Sport Club</t>
        </is>
      </c>
      <c r="I21" s="52" t="inlineStr">
        <is>
          <t>Najwan Muhammad Ghalib</t>
        </is>
      </c>
    </row>
    <row r="22">
      <c r="A22" s="52" t="inlineStr">
        <is>
          <t>Sampoerna Sport Club</t>
        </is>
      </c>
      <c r="I22" s="52" t="inlineStr">
        <is>
          <t>Nia Rizkiyanti</t>
        </is>
      </c>
    </row>
    <row r="23">
      <c r="A23" s="52" t="inlineStr">
        <is>
          <t>Sari Ater Kamboti Bandung</t>
        </is>
      </c>
      <c r="I23" s="52" t="inlineStr">
        <is>
          <t>Nur Ainillah Nabawi</t>
        </is>
      </c>
    </row>
    <row r="24">
      <c r="A24" s="52" t="inlineStr">
        <is>
          <t>Villa Salse (Dago Giri)</t>
        </is>
      </c>
      <c r="I24" s="52" t="inlineStr">
        <is>
          <t>Nurul Khairunnissa</t>
        </is>
      </c>
    </row>
    <row r="25">
      <c r="A25" s="52" t="inlineStr">
        <is>
          <t>Lainnya</t>
        </is>
      </c>
      <c r="I25" s="52" t="inlineStr">
        <is>
          <t>Putri Maharani</t>
        </is>
      </c>
    </row>
    <row r="26">
      <c r="I26" s="52" t="inlineStr">
        <is>
          <t>Rika Kartika</t>
        </is>
      </c>
    </row>
    <row r="27">
      <c r="I27" s="52" t="inlineStr">
        <is>
          <t>Riva Nur Fathiya Safitri</t>
        </is>
      </c>
    </row>
    <row r="28">
      <c r="I28" s="52" t="inlineStr">
        <is>
          <t>Shintia Nur Fadillah</t>
        </is>
      </c>
    </row>
    <row r="29">
      <c r="I29" s="52" t="inlineStr">
        <is>
          <t>Sinta Faoziah</t>
        </is>
      </c>
    </row>
    <row r="30">
      <c r="I30" s="52" t="inlineStr">
        <is>
          <t>Tiara Anastasya Gumilar</t>
        </is>
      </c>
    </row>
    <row r="31">
      <c r="I31" s="52" t="inlineStr">
        <is>
          <t>Tiara Maelani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2026-09-10T11:03:25Z</dcterms:created>
  <dcterms:modified xsi:type="dcterms:W3CDTF">2026-09-10T11:03:26Z</dcterms:modified>
</cp:coreProperties>
</file>